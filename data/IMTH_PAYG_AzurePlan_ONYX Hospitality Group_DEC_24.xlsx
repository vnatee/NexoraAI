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/>
  <mc:AlternateContent xmlns:mc="http://schemas.openxmlformats.org/markup-compatibility/2006">
    <mc:Choice Requires="x15">
      <x15ac:absPath xmlns:x15ac="http://schemas.microsoft.com/office/spreadsheetml/2010/11/ac" url="C:\billing\11\"/>
    </mc:Choice>
  </mc:AlternateContent>
  <xr:revisionPtr revIDLastSave="0" documentId="8_{D5961CB8-897D-4235-AF40-3BAA06D672A9}" xr6:coauthVersionLast="47" xr6:coauthVersionMax="47" xr10:uidLastSave="{00000000-0000-0000-0000-000000000000}"/>
  <bookViews>
    <workbookView xWindow="-120" yWindow="-120" windowWidth="38640" windowHeight="21240" xr2:uid="{D14B7EAE-1AC3-45AB-A7CF-38F3434CB63E}"/>
  </bookViews>
  <sheets>
    <sheet name="PAY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3" i="2" l="1"/>
  <c r="R73" i="2"/>
</calcChain>
</file>

<file path=xl/sharedStrings.xml><?xml version="1.0" encoding="utf-8"?>
<sst xmlns="http://schemas.openxmlformats.org/spreadsheetml/2006/main" count="1703" uniqueCount="482">
  <si>
    <t>Web Pricing</t>
  </si>
  <si>
    <t>Partner Pricing</t>
  </si>
  <si>
    <t>PartnerId</t>
  </si>
  <si>
    <t>CustomerId</t>
  </si>
  <si>
    <t>CustomerName</t>
  </si>
  <si>
    <t>CustomerDomainName</t>
  </si>
  <si>
    <t>CustomerCountry</t>
  </si>
  <si>
    <t>InvoiceNumber</t>
  </si>
  <si>
    <t>MpnId</t>
  </si>
  <si>
    <t>ResellerMpnId</t>
  </si>
  <si>
    <t>OrderId</t>
  </si>
  <si>
    <t>OrderDate</t>
  </si>
  <si>
    <t>ProductId</t>
  </si>
  <si>
    <t>SkuId</t>
  </si>
  <si>
    <t>AvailabilityId</t>
  </si>
  <si>
    <t>SkuName</t>
  </si>
  <si>
    <t>ProductName</t>
  </si>
  <si>
    <t>ChargeType</t>
  </si>
  <si>
    <t>UnitPrice</t>
  </si>
  <si>
    <t>Total</t>
  </si>
  <si>
    <t>Currency</t>
  </si>
  <si>
    <t>PublisherName</t>
  </si>
  <si>
    <t>PublisherId</t>
  </si>
  <si>
    <t>SubscriptionDescription</t>
  </si>
  <si>
    <t>SubscriptionId</t>
  </si>
  <si>
    <t>ChargeStartDate</t>
  </si>
  <si>
    <t>ChargeEndDate</t>
  </si>
  <si>
    <t>TermAndBillingCycle</t>
  </si>
  <si>
    <t>UnitType</t>
  </si>
  <si>
    <t>AlternateId</t>
  </si>
  <si>
    <t>BillableQuantity</t>
  </si>
  <si>
    <t>BillingFrequency</t>
  </si>
  <si>
    <t>PricingCurrency</t>
  </si>
  <si>
    <t>PCToBCExchangeRate</t>
  </si>
  <si>
    <t>PCToBCExchangeRateDate</t>
  </si>
  <si>
    <t>MeterDescription</t>
  </si>
  <si>
    <t>ReservationOrderId</t>
  </si>
  <si>
    <t>CreditReasonCode</t>
  </si>
  <si>
    <t>SubscriptionStartDate</t>
  </si>
  <si>
    <t>SubscriptionEndDate</t>
  </si>
  <si>
    <t>ReferenceId</t>
  </si>
  <si>
    <t>ProductQualifiers</t>
  </si>
  <si>
    <t>PromotionId</t>
  </si>
  <si>
    <t>d0bc648e-5208-46c8-9188-45556aeaea65</t>
  </si>
  <si>
    <t>878e3bbb-6410-4682-a0c9-3b7e2c789caa</t>
  </si>
  <si>
    <t>ONYX Hospitality Group</t>
  </si>
  <si>
    <t>ohgcorporate.onmicrosoft.com</t>
  </si>
  <si>
    <t>TH</t>
  </si>
  <si>
    <t>G072828746</t>
  </si>
  <si>
    <t>fIOvFcjRq55OBmvGcwEgQahdLKujJcXg1</t>
  </si>
  <si>
    <t>DZH318Z0CF6H</t>
  </si>
  <si>
    <t>DZH318Z0K4BM</t>
  </si>
  <si>
    <t>Sentinel - Classic Pay-as-you-go - AP Southeast</t>
  </si>
  <si>
    <t>Sentinel</t>
  </si>
  <si>
    <t>new</t>
  </si>
  <si>
    <t>USD</t>
  </si>
  <si>
    <t>Microsoft</t>
  </si>
  <si>
    <t>Azure plan</t>
  </si>
  <si>
    <t>626da021-b939-4873-c991-2b16a3bfcf1e</t>
  </si>
  <si>
    <t>Analysis (GB)</t>
  </si>
  <si>
    <t>1 GB</t>
  </si>
  <si>
    <t>f78adbe9c185</t>
  </si>
  <si>
    <t>Sentinel - Classic Pay-as-you-go GB Analysis - AP Southeast</t>
  </si>
  <si>
    <t>75d44f62742db0e0700ab22af246878695e046afb4775db704d9e471ade10374</t>
  </si>
  <si>
    <t>b544eced-b535-464f-8bc4-b10845e612fb</t>
  </si>
  <si>
    <t>vBbGjL4d2AOfTW30_WEbTZu5jOYBqf3n1</t>
  </si>
  <si>
    <t>DZH318Z0K9JH</t>
  </si>
  <si>
    <t>02J3</t>
  </si>
  <si>
    <t>DZH318Z08PVK</t>
  </si>
  <si>
    <t>Virtual Machines Basv2 Series - B4as v2 - AP Southeast</t>
  </si>
  <si>
    <t>Virtual Machines Basv2 Series</t>
  </si>
  <si>
    <t>1 Compute Hour</t>
  </si>
  <si>
    <t>1 Hour</t>
  </si>
  <si>
    <t>7ead5ff12391</t>
  </si>
  <si>
    <t>Virtual Machines Basv2 Series - B4as v2 Hours - AP Southeast</t>
  </si>
  <si>
    <t>69179f039a05b4af12c440716da154b2e8d53797f2a69e760825180362a6cd6e</t>
  </si>
  <si>
    <t>381fd96d-234e-4d98-a6c3-476ac51777bb</t>
  </si>
  <si>
    <t>jc_-IEwGGbiMDF11cf_SQZYc32v8-LsL1</t>
  </si>
  <si>
    <t>DZH318Z0BP88</t>
  </si>
  <si>
    <t>00M7</t>
  </si>
  <si>
    <t>DZH318Z0VS08</t>
  </si>
  <si>
    <t>Standard SSD Managed Disks - E4 LRS</t>
  </si>
  <si>
    <t>Standard SSD Managed Disks</t>
  </si>
  <si>
    <t>10K Disk Operations</t>
  </si>
  <si>
    <t>10K</t>
  </si>
  <si>
    <t>b49b7e3b8141</t>
  </si>
  <si>
    <t>Standard SSD Managed Disks - E4 - LRS - 10K Disk Operations</t>
  </si>
  <si>
    <t>c342b89aaeabee17c3fb48b7eca90c2db98e4746fea9c25bd390dec83c920e58</t>
  </si>
  <si>
    <t>a292fb52-9bbf-48cf-8cd6-543540dcc388</t>
  </si>
  <si>
    <t>6LIgE1BwcJKRAVnRIq0XSLaMib-AOrwr1</t>
  </si>
  <si>
    <t>DZH318Z0BNVV</t>
  </si>
  <si>
    <t>DZH318Z098Z5</t>
  </si>
  <si>
    <t>Virtual Network Peering</t>
  </si>
  <si>
    <t>Egress (GB)</t>
  </si>
  <si>
    <t>142fd6b9237b</t>
  </si>
  <si>
    <t>Virtual Network Peering - Intra-Region GB Egress</t>
  </si>
  <si>
    <t>b3989aceb2496222bf59d951b0b8e01d4e90c0a63b46dcc3a760aded7b357ae4</t>
  </si>
  <si>
    <t>5fb3cbdf-c73a-4e73-b863-2bf1d2288c01</t>
  </si>
  <si>
    <t>DZH318Z0BQV2</t>
  </si>
  <si>
    <t>000B</t>
  </si>
  <si>
    <t>DZH318Z09LGR</t>
  </si>
  <si>
    <t>Insight and Analytics</t>
  </si>
  <si>
    <t>Included per Node (GB)</t>
  </si>
  <si>
    <t>Insight and Analytics - Standard GB Data Included per Node</t>
  </si>
  <si>
    <t>bd318790220b236e223ad030684b0511f07956bab676fecca3dc0cc994f164b5</t>
  </si>
  <si>
    <t>DZH318Z0BNVX</t>
  </si>
  <si>
    <t>000C</t>
  </si>
  <si>
    <t>DZH318Z0KJSZ</t>
  </si>
  <si>
    <t>Rtn Preference: MGN - AU East</t>
  </si>
  <si>
    <t>Rtn Preference: MGN</t>
  </si>
  <si>
    <t>Data Transfer Out (GB)</t>
  </si>
  <si>
    <t>Rtn Preference: MGN - Standard GB Data Transfer Out - AU East</t>
  </si>
  <si>
    <t>fe984e4160630e3bfba91348e79171146c33dc3e6f203643ad5044b34734cae9</t>
  </si>
  <si>
    <t>DZH318Z0BQD2</t>
  </si>
  <si>
    <t>002P</t>
  </si>
  <si>
    <t>DZH318Z0HTV2</t>
  </si>
  <si>
    <t>Log Analytics - Pay-as-you-go - AP Southeast</t>
  </si>
  <si>
    <t>Log Analytics</t>
  </si>
  <si>
    <t>Data Ingestion (GB)</t>
  </si>
  <si>
    <t>Log Analytics - Pay-as-you-go GB Data Ingestion - AP Southeast</t>
  </si>
  <si>
    <t>620359d1b0412fa089698a1b01996aa306f5540936121efc9be8e4ef22817c4e</t>
  </si>
  <si>
    <t>4rmJiDy5SDw7PJgMz54pRaJX8PXa8cGW1</t>
  </si>
  <si>
    <t>DZH318Z0BZ5L</t>
  </si>
  <si>
    <t>00BK</t>
  </si>
  <si>
    <t>DZH318Z0JP7T</t>
  </si>
  <si>
    <t>Virtual WAN - Standard Hub</t>
  </si>
  <si>
    <t>Virtual WAN</t>
  </si>
  <si>
    <t>1 Unit Hour</t>
  </si>
  <si>
    <t>8099262b876c</t>
  </si>
  <si>
    <t>Virtual WAN - Standard Hub Hours Unit</t>
  </si>
  <si>
    <t>a6094eaa46f97a5580931da014fbe4a35deba695d9ca7f1def976dd559453d13</t>
  </si>
  <si>
    <t>ece939a6-c561-4d7f-8d54-665d596ec283</t>
  </si>
  <si>
    <t>DZH318Z0BP04</t>
  </si>
  <si>
    <t>00HM</t>
  </si>
  <si>
    <t>DZH318XZQKHG</t>
  </si>
  <si>
    <t>Premium SSD Managed Disks - P10 - AP Southeast</t>
  </si>
  <si>
    <t>Premium SSD Managed Disks</t>
  </si>
  <si>
    <t>1 Disk/Month</t>
  </si>
  <si>
    <t>1/Month</t>
  </si>
  <si>
    <t>Premium SSD Managed Disks - P10 LRS/Month - AP Southeast</t>
  </si>
  <si>
    <t>07e4ad21854de3e7dd6fdceaa4e0b5d450fc42096a056270bdc8f6ae0ce86803</t>
  </si>
  <si>
    <t>DZH318Z0CB56</t>
  </si>
  <si>
    <t>004J</t>
  </si>
  <si>
    <t>DZH318Z09ZF3</t>
  </si>
  <si>
    <t>Azure Bastion - Standard</t>
  </si>
  <si>
    <t>Azure Bastion</t>
  </si>
  <si>
    <t>1 Gateway Hour</t>
  </si>
  <si>
    <t>Azure Bastion - Standard Hours Gateway - Zone 1</t>
  </si>
  <si>
    <t>9aeb3d4e45176bd63004faf60273ac75a964e94cddb5acdabe85ce73d41c4cb2</t>
  </si>
  <si>
    <t>KjgPZR9UFaKG5bmNFmpCRbjhA8lor5KJ1</t>
  </si>
  <si>
    <t>DZH318Z0BNZJ</t>
  </si>
  <si>
    <t>000J</t>
  </si>
  <si>
    <t>DZH318XZWPNZ</t>
  </si>
  <si>
    <t>Blob Storage - Hot LRS - AP Southeast</t>
  </si>
  <si>
    <t>Blob Storage</t>
  </si>
  <si>
    <t>10K All Other Operations</t>
  </si>
  <si>
    <t>e2afb9e0501e</t>
  </si>
  <si>
    <t>Tiered Block Blob - 10K All Other Operations - AP Southeast</t>
  </si>
  <si>
    <t>711ed2ed9b479060d8f59d6c01fd501e55e94e67b2343d1d910348c299b562a2</t>
  </si>
  <si>
    <t>36dec3c7-9412-479a-be10-5ec5961657a1</t>
  </si>
  <si>
    <t>00BD</t>
  </si>
  <si>
    <t>DZH318Z0W403</t>
  </si>
  <si>
    <t>Standard SSD Managed Disks - E30 LRS - AP Southeast</t>
  </si>
  <si>
    <t>Standard SSD Managed Disks - E30 - LRS - 1/Month Disk - AP Southeast</t>
  </si>
  <si>
    <t>df4657611864535040fe03843964ea3c3d6a6581523ff75739ef15b72cabb36a</t>
  </si>
  <si>
    <t>DZH318Z0C5TM</t>
  </si>
  <si>
    <t>DZH318Z0988N</t>
  </si>
  <si>
    <t>Bandwidth Inter-Region - Inter Continent - Intercontinental</t>
  </si>
  <si>
    <t>Bandwidth Inter-Region</t>
  </si>
  <si>
    <t>Data Transfer Out - Trans-Pacific (GB)</t>
  </si>
  <si>
    <t>Bandwidth Inter-Region - Inter Continent GB Data Transfer Out - ASIA To Any - Intercontinental</t>
  </si>
  <si>
    <t>6a6e9deab1113b7d8af9fa69cf26e69b565b75d64e65e6b552ff8456e32c9a4c</t>
  </si>
  <si>
    <t>ToxYp0DylT04RaTt9KLzRJ9OPgYQmCFg1</t>
  </si>
  <si>
    <t>003M</t>
  </si>
  <si>
    <t>DZH318Z0VBV8</t>
  </si>
  <si>
    <t>Standard SSD Managed Disks - E15 LRS - AP Southeast</t>
  </si>
  <si>
    <t>2bc425ac42fa</t>
  </si>
  <si>
    <t>Standard SSD Managed Disks - E15 - LRS - 1/Month Disk - AP Southeast</t>
  </si>
  <si>
    <t>9a3390584c8bdc8570b9af3eef7a2d320d76f29faba4d113cdd3dc76f6b82e2d</t>
  </si>
  <si>
    <t>669040fb-2f85-47ad-a235-7bc6be0f6230</t>
  </si>
  <si>
    <t>00FM</t>
  </si>
  <si>
    <t>DZH318Z0VN97</t>
  </si>
  <si>
    <t>Standard SSD Managed Disks - E20 LRS - AP Southeast</t>
  </si>
  <si>
    <t>Standard SSD Managed Disks - E20 - LRS - 1/Month Disk - AP Southeast</t>
  </si>
  <si>
    <t>168335df2fffa789e39b62b301c2088da9e38fc78a877a769deb14ce18d567c3</t>
  </si>
  <si>
    <t>00N4</t>
  </si>
  <si>
    <t>DZH318XZLQ5T</t>
  </si>
  <si>
    <t>Premium SSD Managed Disks - Snapshots - AP Southeast</t>
  </si>
  <si>
    <t>Snapshots (GB/Month)</t>
  </si>
  <si>
    <t>1 GB/Month</t>
  </si>
  <si>
    <t>Premium SSD Managed Disks - Snapshots LRS GB/Month - AP Southeast</t>
  </si>
  <si>
    <t>d64de20ce4be1776c61469987a7fb2cc2df2362d58821a9ee8b498639fe7841b</t>
  </si>
  <si>
    <t>DZH318Z0C8ZQ</t>
  </si>
  <si>
    <t>DZH318Z09M55</t>
  </si>
  <si>
    <t>Bandwidth - Routing Preference: Internet - AU East</t>
  </si>
  <si>
    <t>Bandwidth - Routing Preference: Internet</t>
  </si>
  <si>
    <t>Bandwidth - Routing Preference: Internet - Standard GB Data Transfer Out - AU East</t>
  </si>
  <si>
    <t>12bcda30a03e8496883def2cac2ca8c02c9f4c4891e84da0d04acca0b5c7ecdb</t>
  </si>
  <si>
    <t>DZH318Z0BFJR</t>
  </si>
  <si>
    <t>Azure Bastion - Basic - AU East</t>
  </si>
  <si>
    <t>Azure Bastion - Basic GB Data Transfer Out - Zone 2</t>
  </si>
  <si>
    <t>ef8cc0d8ca9fd64cc47a0a27249a8cfaad22af9aa652ea2a20f7f03af2b39de8</t>
  </si>
  <si>
    <t>DZH318Z0BNZF</t>
  </si>
  <si>
    <t>004V</t>
  </si>
  <si>
    <t>DZH318Z0LZKZ</t>
  </si>
  <si>
    <t>Standard Page Blob - LRS</t>
  </si>
  <si>
    <t>Standard Page Blob</t>
  </si>
  <si>
    <t>Data Stored (GB/Month)</t>
  </si>
  <si>
    <t>Standard Page Blob - LRS Data Stored (GB/Month)</t>
  </si>
  <si>
    <t>e007ed3307f4b12fa42dc738eaf35d1bcf343593b31a9b4db64e68d6faa759e5</t>
  </si>
  <si>
    <t>00G4</t>
  </si>
  <si>
    <t>DZH318XZR0W7</t>
  </si>
  <si>
    <t>Premium SSD Managed Disks - P20 - AP Southeast</t>
  </si>
  <si>
    <t>Premium SSD Managed Disks - P20 LRS/Month - AP Southeast</t>
  </si>
  <si>
    <t>ba54996d9067143b47778459eb814fc789680fe6ff089010dde10157b7f1d8ea</t>
  </si>
  <si>
    <t>DZH318Z0CSHH</t>
  </si>
  <si>
    <t>DZH318Z0QDC0</t>
  </si>
  <si>
    <t>Virtual Machines Ddsv4 Series Windows - D8ds v4 - AP Southeast</t>
  </si>
  <si>
    <t>Virtual Machines Ddsv4 Series Windows</t>
  </si>
  <si>
    <t>Virtual Machines Ddsv4 Series Windows - D8ds v4 Hours - AP Southeast</t>
  </si>
  <si>
    <t>a466b2d3409623859e9136e575e2ff4b3376d74f1f654a9616b9f33e85a0c12f</t>
  </si>
  <si>
    <t>DZH318Z0BQNH</t>
  </si>
  <si>
    <t>00B6</t>
  </si>
  <si>
    <t>DZH318Z0LSBX</t>
  </si>
  <si>
    <t>Virtual Machines BS Series Windows - B2s - AP Southeast</t>
  </si>
  <si>
    <t>Virtual Machines BS Series Windows</t>
  </si>
  <si>
    <t>Virtual Machines BS Series Windows - B2s Hours - AP Southeast</t>
  </si>
  <si>
    <t>ad7e531062b84c1338ee307575b3e309bbc87e64a8c87f58d2acc3b8c6d09731</t>
  </si>
  <si>
    <t>DZH318Z0BQLB</t>
  </si>
  <si>
    <t>016T</t>
  </si>
  <si>
    <t>DZH318XZ40QH</t>
  </si>
  <si>
    <t>Azure Monitor - Emails</t>
  </si>
  <si>
    <t>Azure Monitor</t>
  </si>
  <si>
    <t>1 Email</t>
  </si>
  <si>
    <t>Azure Monitor - Emails 1</t>
  </si>
  <si>
    <t>3b00fd2019b3cf1c1f5932e438fb2c29d50702c5bb8f2b716f31905858139f84</t>
  </si>
  <si>
    <t>007B</t>
  </si>
  <si>
    <t>DZH318XZR8VB</t>
  </si>
  <si>
    <t>Premium SSD Managed Disks - P60 - AP Southeast</t>
  </si>
  <si>
    <t>Premium SSD Managed Disks - P60 LRS/Month - AP Southeast</t>
  </si>
  <si>
    <t>1e78bc0b5bb9632425dcd5e299ba766ce7fa8544316fc3bcad6223f741ab5419</t>
  </si>
  <si>
    <t>00MZ</t>
  </si>
  <si>
    <t>DZH318Z0V4PK</t>
  </si>
  <si>
    <t>Standard SSD Managed Disks - Snapshots LRS - AP Southeast</t>
  </si>
  <si>
    <t>Standard SSD Managed Disks - Snapshots - LRS - 1 GB/Month Snapshots - AP Southeast</t>
  </si>
  <si>
    <t>70ff111f7ce391d9985154cdbbe3aad90049796cf5b7f586fa6139f2ac1698fa</t>
  </si>
  <si>
    <t>008K</t>
  </si>
  <si>
    <t>DZH318Z0J98T</t>
  </si>
  <si>
    <t>Virtual WAN - VPN P2S Connection Unit</t>
  </si>
  <si>
    <t>Virtual WAN - VPN P2S Connection Unit Hours</t>
  </si>
  <si>
    <t>1b233f88ab171caac727dd3f4aa16b007bd2335a260f4e812f743231204d87d6</t>
  </si>
  <si>
    <t>DZH318Z0C16V</t>
  </si>
  <si>
    <t>DZH318Z0J3XR</t>
  </si>
  <si>
    <t>Microsoft Defender for SQL - Standard</t>
  </si>
  <si>
    <t>Microsoft Defender for SQL</t>
  </si>
  <si>
    <t>1 Node/Month</t>
  </si>
  <si>
    <t>Microsoft Defender for SQL - Standard Node/Month</t>
  </si>
  <si>
    <t>0dcfca91df8f0a13cc80e2f07fa10db8beef65d8de04c98b1e0f4ceee9735f84</t>
  </si>
  <si>
    <t>DZH318Z0K9JF</t>
  </si>
  <si>
    <t>02DH</t>
  </si>
  <si>
    <t>DZH318Z09FQX</t>
  </si>
  <si>
    <t>Virtual Machines Basv2 Series Windows - B2as v2 - AP Southeast</t>
  </si>
  <si>
    <t>Virtual Machines Basv2 Series Windows</t>
  </si>
  <si>
    <t>Virtual Machines Basv2 Series Windows - B2as v2 Hours - AP Southeast</t>
  </si>
  <si>
    <t>40b8b30366f987d26d062e4a41b2f8b58cad5a0699d0e116938cdfa9a9ec053c</t>
  </si>
  <si>
    <t>DZH318Z098Z6</t>
  </si>
  <si>
    <t>Ingress (GB)</t>
  </si>
  <si>
    <t>Virtual Network Peering - Intra-Region GB Ingress</t>
  </si>
  <si>
    <t>e463e2fdae09f198c5b4ac0e81824a4c7aa3c65a63a44164256019a6dd71c863</t>
  </si>
  <si>
    <t>DZH318Z0BNZ5</t>
  </si>
  <si>
    <t>006G</t>
  </si>
  <si>
    <t>DZH318XZQH83</t>
  </si>
  <si>
    <t>Tables - LRS</t>
  </si>
  <si>
    <t>Tables</t>
  </si>
  <si>
    <t>10K Batch Write Operations</t>
  </si>
  <si>
    <t>Tables - 10K Batch Write Operations</t>
  </si>
  <si>
    <t>69ba71c1892a15da8a9de190cf57017f35196740c45ef5925277a713800a0feb</t>
  </si>
  <si>
    <t>DZH318Z0KS7F</t>
  </si>
  <si>
    <t>10K Disk Write Operations</t>
  </si>
  <si>
    <t>Standard Page Blob - 10K Disk Write Operations</t>
  </si>
  <si>
    <t>ef38d7b3291158f6d493aca2bd629f605c5e274f1adda4249b9da96ef728cc83</t>
  </si>
  <si>
    <t>dd77bcb1c4dc7813d03cd80e4ce5e4666bd91419c358fa3a02f093720cb8ae15</t>
  </si>
  <si>
    <t>DZH318Z0BSD0</t>
  </si>
  <si>
    <t>DZH318Z09RWH</t>
  </si>
  <si>
    <t>Application Gateway WAF v2 - AP Southeast</t>
  </si>
  <si>
    <t>Application Gateway WAF v2</t>
  </si>
  <si>
    <t>Fixed Cost/Hour</t>
  </si>
  <si>
    <t>1/Hour</t>
  </si>
  <si>
    <t>Application Gateway WAF v2 - Standard Fixed Cost/Hour - AP Southeast</t>
  </si>
  <si>
    <t>9ab0844c9158b8ee19994397a62a8c737523fad0b96cf444c46eed479118480f</t>
  </si>
  <si>
    <t>DZH318Z0BNWT</t>
  </si>
  <si>
    <t>DZH318Z0R0P4</t>
  </si>
  <si>
    <t>Standard Page Blob v2 - LRS - AP Southeast</t>
  </si>
  <si>
    <t>Standard Page Blob v2</t>
  </si>
  <si>
    <t>Standard Page Blob v2 - LRS Data Stored (GB/Month) - AP Southeast</t>
  </si>
  <si>
    <t>ebfd4c4173f434e8cbfb69341a14b557e9531376add77bacee5f71c9eed2d141</t>
  </si>
  <si>
    <t>DZH318Z0BNZH</t>
  </si>
  <si>
    <t>006F</t>
  </si>
  <si>
    <t>DZH318Z0QCXV</t>
  </si>
  <si>
    <t>General Block Blob - LRS</t>
  </si>
  <si>
    <t>General Block Blob</t>
  </si>
  <si>
    <t>10K List and Create Container Operations</t>
  </si>
  <si>
    <t>General Block Blob - LRS - 10K List and Create Container Operations</t>
  </si>
  <si>
    <t>0b1ac0fee494c68957c3f6705ffa84bc397effb3b5175114a54f75ef7a9d3c67</t>
  </si>
  <si>
    <t>DZH318Z0JT3N</t>
  </si>
  <si>
    <t>Data Transfer In (GB)</t>
  </si>
  <si>
    <t>Rtn Preference: MGN - Standard GB Data Transfer In - AU East</t>
  </si>
  <si>
    <t>9d26dc269c4e1a979a1c7be447f82f86df74e988427453ecda51ab13ef6b0622</t>
  </si>
  <si>
    <t>eebc70cbfbf382cffa529b0eba28ca0b3b8edd87b08a23f6de177cf8bfdd8ee0</t>
  </si>
  <si>
    <t>DZH318Z0BP05</t>
  </si>
  <si>
    <t>DZH318Z0NWF7</t>
  </si>
  <si>
    <t>Backup - Standard - AP Southeast</t>
  </si>
  <si>
    <t>Backup</t>
  </si>
  <si>
    <t>GRS Data Stored (GB/Month)</t>
  </si>
  <si>
    <t>Backup - GRS Data Stored (GB/Month) - AP Southeast</t>
  </si>
  <si>
    <t>ef72d4cb6679ef1283f08b4c09a95b0d15cd7a6aefc0804a0444c88a65fc0e1e</t>
  </si>
  <si>
    <t>DZH318Z0BXB9</t>
  </si>
  <si>
    <t>DZH318Z0B0WF</t>
  </si>
  <si>
    <t>Microsoft Defender for Storage - Standard</t>
  </si>
  <si>
    <t>Microsoft Defender for Storage</t>
  </si>
  <si>
    <t>10K Transactions</t>
  </si>
  <si>
    <t>Microsoft Defender for Storage - Standard 10K Transactions</t>
  </si>
  <si>
    <t>e2072a880425636b71d6600ad3a3d2d2437b85db2b6002770c9208bc3e139e3b</t>
  </si>
  <si>
    <t>DZH318Z0KS77</t>
  </si>
  <si>
    <t>10K Disk Read Operations</t>
  </si>
  <si>
    <t>Standard Page Blob - 10K Disk Read Operations</t>
  </si>
  <si>
    <t>eaf0e0230b312f7a3663ca34a4889182df056eeecfbca11693e9fa29dce07de2</t>
  </si>
  <si>
    <t>DZH318Z0JB0Q</t>
  </si>
  <si>
    <t>Virtual WAN - VPN S2S Connection Unit</t>
  </si>
  <si>
    <t>Virtual WAN - VPN S2S Connection Unit Hours</t>
  </si>
  <si>
    <t>b9397c11cdf881c2076abb0886001c037674c21759addd73ddeb9f0e31fbd65e</t>
  </si>
  <si>
    <t>DZH318Z0BP0L</t>
  </si>
  <si>
    <t>01BQ</t>
  </si>
  <si>
    <t>DZH318Z0L8V6</t>
  </si>
  <si>
    <t>Standard HDD Managed Disks - Snapshots ZRS - AP Southeast</t>
  </si>
  <si>
    <t>Standard HDD Managed Disks</t>
  </si>
  <si>
    <t>Standard HDD Managed Disks - Snapshots - ZRS - 1 GB/Month Snapshots - AP Southeast</t>
  </si>
  <si>
    <t>b536304fdc242364b82c14f7a5803c193cdac1d29b35e58ce87569ef107d10b4</t>
  </si>
  <si>
    <t>00DL</t>
  </si>
  <si>
    <t>DZH318Z0VG1G</t>
  </si>
  <si>
    <t>Standard SSD Managed Disks - E4 LRS - AP Southeast</t>
  </si>
  <si>
    <t>Standard SSD Managed Disks - E4 - LRS - 1/Month Disk - AP Southeast</t>
  </si>
  <si>
    <t>8c35413a54153025121cb3ef23cdd3d1021f3d3a226d86d3a1967fde41a97b23</t>
  </si>
  <si>
    <t>DZH318Z0BNXK</t>
  </si>
  <si>
    <t>001J</t>
  </si>
  <si>
    <t>DZH318Z0HQPT</t>
  </si>
  <si>
    <t>Network Watcher</t>
  </si>
  <si>
    <t>1 Diagnostic Tool API</t>
  </si>
  <si>
    <t>Network Watcher - Standard 1 Diagnostic Tool API</t>
  </si>
  <si>
    <t>96e19ed28b98254c5bffd41f298d0c7e8814e18047688fbc4ef5ab10af934cbd</t>
  </si>
  <si>
    <t>02BV</t>
  </si>
  <si>
    <t>DZH318Z09FL7</t>
  </si>
  <si>
    <t>Virtual Machines Basv2 Series Windows - B8as v2 - AP Southeast</t>
  </si>
  <si>
    <t>Virtual Machines Basv2 Series Windows - B8as v2 Hours - AP Southeast</t>
  </si>
  <si>
    <t>782080ae34d0c3c1acbfdead479b415f6fbab8ed34b88a3b90a6127e3941ee12</t>
  </si>
  <si>
    <t>DZH318Z0TPHN</t>
  </si>
  <si>
    <t>Standard SSD Managed Disks - E6 LRS - AP Southeast</t>
  </si>
  <si>
    <t>Standard SSD Managed Disks - E6 - LRS - 1/Month Disk - AP Southeast</t>
  </si>
  <si>
    <t>dbf56c13ae84ef71baf1fc13a05f41a6ac93f6d543f708840b68ed405eeb7d7d</t>
  </si>
  <si>
    <t>DZH318Z0BZ06</t>
  </si>
  <si>
    <t>004D</t>
  </si>
  <si>
    <t>DZH318Z0HSF4</t>
  </si>
  <si>
    <t>Azure Firewall - Premium</t>
  </si>
  <si>
    <t>Azure Firewall</t>
  </si>
  <si>
    <t>1 Deployment Hour</t>
  </si>
  <si>
    <t>Azure Firewall - Premium Hours Deployment</t>
  </si>
  <si>
    <t>b894a7b2ba04d826b8f934b90d8bcd247891dffe05e1e865a479db9ae255361c</t>
  </si>
  <si>
    <t>34e9236be88bd3c05664008311b4595bd85742ae3ca8362bc68e6047582a5cd5</t>
  </si>
  <si>
    <t>DZH318Z0QCZX</t>
  </si>
  <si>
    <t>10K Write Operations</t>
  </si>
  <si>
    <t>General Block Blob - LRS - 10K Write Operations</t>
  </si>
  <si>
    <t>8cd9b441fe059849d80223019af49e916dc70edf37bd9b677fa5a3075cc666d7</t>
  </si>
  <si>
    <t>016X</t>
  </si>
  <si>
    <t>DZH318XZ3QKQ</t>
  </si>
  <si>
    <t>Azure Monitor - Alerts</t>
  </si>
  <si>
    <t>1 Metric Monitored/Month</t>
  </si>
  <si>
    <t>Azure Monitor - Alerts Metric Monitored/Month</t>
  </si>
  <si>
    <t>2b7312c4802100ea03b53ae68f27fa4f8b76eea6067d46efd51cde703c03dfde</t>
  </si>
  <si>
    <t>DZH318Z0JB85</t>
  </si>
  <si>
    <t>Virtual WAN - VPN P2S Scale Unit</t>
  </si>
  <si>
    <t>Virtual WAN - VPN P2S Scale Unit Hours</t>
  </si>
  <si>
    <t>20d0b1af5eb01caf06611fea558984b5a53c942f60799ef570a4c4a1f271505d</t>
  </si>
  <si>
    <t>DZH318Z0QD0N</t>
  </si>
  <si>
    <t>10K Read Operations</t>
  </si>
  <si>
    <t>General Block Blob - 10K Read Operations</t>
  </si>
  <si>
    <t>3a299ee30500179861f451b737f6ce360f113c05a60dd2c95a0a6940221262f5</t>
  </si>
  <si>
    <t>DZH318Z0BSHK</t>
  </si>
  <si>
    <t>DZH318Z09BJF</t>
  </si>
  <si>
    <t>SQL Server Express Edition</t>
  </si>
  <si>
    <t>1 License Hour</t>
  </si>
  <si>
    <t>SQL Server Express Edition - Hours License</t>
  </si>
  <si>
    <t>e8c0d66ebf96d9dcdceb534c9974a258ccc31604a5291006ded69b620ed52a08</t>
  </si>
  <si>
    <t>003V</t>
  </si>
  <si>
    <t>DZH318Z0G5Z1</t>
  </si>
  <si>
    <t>Backup - Azure VM - AP Southeast</t>
  </si>
  <si>
    <t>1 Protected Instance/Month</t>
  </si>
  <si>
    <t>Backup - Azure VM - Protected Instances/Month - AP Southeast</t>
  </si>
  <si>
    <t>669740fbeaa649a12eada474dd03a1b35c419215b5f3f1919752bd65f69b088b</t>
  </si>
  <si>
    <t>02C1</t>
  </si>
  <si>
    <t>DZH318Z095LZ</t>
  </si>
  <si>
    <t>Virtual Machines Basv2 Series Windows - B16as v2 - AP Southeast</t>
  </si>
  <si>
    <t>Virtual Machines Basv2 Series Windows - B16as v2 Hours - AP Southeast</t>
  </si>
  <si>
    <t>2db54c628aa89a0e00cb35135d1fa4f7d34b5ec31b87ad6adedbe8edc235b015</t>
  </si>
  <si>
    <t>DZH318Z0CM94</t>
  </si>
  <si>
    <t>DZH318Z0H34P</t>
  </si>
  <si>
    <t>Virtual Machines Dav4 Series Windows - D2a v4 - AP Southeast</t>
  </si>
  <si>
    <t>Virtual Machines Dav4 Series Windows</t>
  </si>
  <si>
    <t>Virtual Machines Dav4/Dasv4 Series Windows - D2a v4/D2as v4 Hours - AP Southeast</t>
  </si>
  <si>
    <t>d5ff5b87aa66f1d8a21a09277e95491bd4cb1b604978cf2164b0f9a4a31c60a0</t>
  </si>
  <si>
    <t>02BK</t>
  </si>
  <si>
    <t>DZH318Z097BC</t>
  </si>
  <si>
    <t>Virtual Machines Basv2 Series Windows - B16als v2 - AP Southeast</t>
  </si>
  <si>
    <t>Virtual Machines Basv2 Series Windows - B16als v2 Hours - AP Southeast</t>
  </si>
  <si>
    <t>3d8a4e506f1cbafe427b5c365d132878600624cc9d28b6dd2128f056dc0227ef</t>
  </si>
  <si>
    <t>DZH318Z09RXQ</t>
  </si>
  <si>
    <t>Capacity Units/Hour</t>
  </si>
  <si>
    <t>Application Gateway WAF v2 - Standard Capacity Units/Hour - AP Southeast</t>
  </si>
  <si>
    <t>62bac87478ac8789e2c26d2194caa22ab6234d84a1ab100054281b4ee6702904</t>
  </si>
  <si>
    <t>00DX</t>
  </si>
  <si>
    <t>DZH318Z0V8DW</t>
  </si>
  <si>
    <t>Standard SSD Managed Disks - E10 LRS - AP Southeast</t>
  </si>
  <si>
    <t>Standard SSD Managed Disks - E10 - LRS - 1/Month Disk - AP Southeast</t>
  </si>
  <si>
    <t>6e79172062514eff99049a25f182410fa428b31769c553508e5223814865dfd6</t>
  </si>
  <si>
    <t>DZH318Z0D9CQ</t>
  </si>
  <si>
    <t>002C</t>
  </si>
  <si>
    <t>DZH318Z09M4G</t>
  </si>
  <si>
    <t>Microsoft Defender for Resource Manager - Standard - US East</t>
  </si>
  <si>
    <t>Microsoft Defender for Resource Manager</t>
  </si>
  <si>
    <t>1M Events</t>
  </si>
  <si>
    <t>1M</t>
  </si>
  <si>
    <t>Microsoft Defender for Resource Manager - Standard 1M Events</t>
  </si>
  <si>
    <t>6ff9291ca330b297dbf8bc7753cf1bf635859f8f523a1ddc6b5f3d9b317c23d0</t>
  </si>
  <si>
    <t>02DP</t>
  </si>
  <si>
    <t>DZH318Z09019</t>
  </si>
  <si>
    <t>Virtual Machines Basv2 Series Windows - B4als v2 - AP Southeast</t>
  </si>
  <si>
    <t>Virtual Machines Basv2 Series Windows - B4als v2 Hours - AP Southeast</t>
  </si>
  <si>
    <t>a3f0c42b33c563e4236b4a9c1845aeec659a3a45fb2811dddc49403cee89d1f6</t>
  </si>
  <si>
    <t>DZH318Z0HSDJ</t>
  </si>
  <si>
    <t>Data Processed (GB)</t>
  </si>
  <si>
    <t>Azure Firewall - Premium GB Data Processed</t>
  </si>
  <si>
    <t>1ca40a12495c7af2394942c6607b011c3dad809e14d9db3f4de7b5fd17d45dbd</t>
  </si>
  <si>
    <t>018G</t>
  </si>
  <si>
    <t>DZH318Z0LC7V</t>
  </si>
  <si>
    <t>Standard HDD Managed Disks - S4 LRS</t>
  </si>
  <si>
    <t>Standard HDD Managed Disks - S4 - LRS - 10K Disk Operations</t>
  </si>
  <si>
    <t>fac37436213a636dd0cff484cc33447c7eccfa1b5b70e49d1c1fcde80beadf6f</t>
  </si>
  <si>
    <t>DZH318Z0BP0B</t>
  </si>
  <si>
    <t>004M</t>
  </si>
  <si>
    <t>DZH318Z0FNWK</t>
  </si>
  <si>
    <t>Files - LRS</t>
  </si>
  <si>
    <t>Files</t>
  </si>
  <si>
    <t>Files - LRS Data Stored (GB/Month)</t>
  </si>
  <si>
    <t>5c49cde0f64f99cb086f10c6cf2c122414451b9d473ce2f0d532521b99fdbf74</t>
  </si>
  <si>
    <t>02HX</t>
  </si>
  <si>
    <t>DZH318Z08BWH</t>
  </si>
  <si>
    <t>Virtual Machines Basv2 Series - B2als v2 - AP Southeast</t>
  </si>
  <si>
    <t>Virtual Machines Basv2 Series - B2als v2 Hours - AP Southeast</t>
  </si>
  <si>
    <t>bc853c3299d947209916af964e3c565944345cb489ffdcfad9d1c449eca01df6</t>
  </si>
  <si>
    <t>DZH318Z0BNXN</t>
  </si>
  <si>
    <t>DZH318Z0J4SK</t>
  </si>
  <si>
    <t>IP Addresses - Standard IPv4</t>
  </si>
  <si>
    <t>IP Addresses</t>
  </si>
  <si>
    <t>1 Static Public IP Hour</t>
  </si>
  <si>
    <t>IP Addresses - Standard IPv4 Hours Static Public IP</t>
  </si>
  <si>
    <t>72ec1ca934815daf5b2a756ab9a57a20d88e52537e6655ddd4930af68ca6a3f3</t>
  </si>
  <si>
    <t>DZH318Z097XS</t>
  </si>
  <si>
    <t>Bandwidth Inter-Region - Intra Continent - Asia</t>
  </si>
  <si>
    <t>Bandwidth Inter-Region - Intra Continent GB Data Transfer Out - Asia</t>
  </si>
  <si>
    <t>b24b0ae2df593a0849523c09899875825923da48d3777a65ea40cc268857d177</t>
  </si>
  <si>
    <t>DZH318Z0BQFX</t>
  </si>
  <si>
    <t>DZH318Z0HCQB</t>
  </si>
  <si>
    <t>Microsoft Defender for Servers - Standard P2</t>
  </si>
  <si>
    <t>Microsoft Defender for Servers</t>
  </si>
  <si>
    <t>1 Node/Hour</t>
  </si>
  <si>
    <t>Microsoft Defender for Servers - Standard P2 Node/Hour</t>
  </si>
  <si>
    <t>6b97cddb0d61f15939c3ff171097d0a6b3a46ba8d890b09ea184ec8321c0d590</t>
  </si>
  <si>
    <t>23a6d3b805bed181e522ed61a7ee783fd385cab1239c65fe2bffa5a1cac6bbd1</t>
  </si>
  <si>
    <t>007Z</t>
  </si>
  <si>
    <t>DZH318Z0JPB5</t>
  </si>
  <si>
    <t>Virtual WAN - VPN S2S Scale Unit</t>
  </si>
  <si>
    <t>Virtual WAN - VPN S2S Scale Unit Hours</t>
  </si>
  <si>
    <t>00efbef74e70ee7a24aa732ebf378c95502766a523dd45b6afab7f44731d896e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</si>
</sst>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2" borderId="0" xfId="1" applyFont="1" applyFill="1"/>
    <xf numFmtId="14" fontId="0" fillId="0" borderId="0" xfId="0" applyNumberFormat="1"/>
    <xf numFmtId="11" fontId="0" fillId="0" borderId="0" xfId="0" applyNumberFormat="1"/>
    <xf numFmtId="43" fontId="0" fillId="0" borderId="0" xfId="1" applyFont="1"/>
    <xf numFmtId="43" fontId="0" fillId="3" borderId="0" xfId="1" applyFont="1" applyFill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1186590</xdr:colOff>
      <xdr:row>74</xdr:row>
      <xdr:rowOff>104775</xdr:rowOff>
    </xdr:from>
    <xdr:to>
      <xdr:col>25</xdr:col>
      <xdr:colOff>359627</xdr:colOff>
      <xdr:row>101</xdr:row>
      <xdr:rowOff>113296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07DC7-67A1-03E1-5EDA-71A95507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94040" y="14211300"/>
          <a:ext cx="11917487" cy="5152021"/>
        </a:xfrm>
        <a:prstGeom prst="rect">
          <a:avLst/>
        </a:prstGeom>
      </xdr:spPr>
    </xdr:pic>
    <xdr:clientData/>
  </xdr:twoCellAnchor>
  <xdr:twoCellAnchor editAs="oneCell">
    <xdr:from>
      <xdr:col>14</xdr:col>
      <xdr:colOff>1168069</xdr:colOff>
      <xdr:row>102</xdr:row>
      <xdr:rowOff>38100</xdr:rowOff>
    </xdr:from>
    <xdr:to>
      <xdr:col>25</xdr:col>
      <xdr:colOff>438150</xdr:colOff>
      <xdr:row>129</xdr:row>
      <xdr:rowOff>152883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6AC4C5-BB9E-AC26-86CE-36ACADFBA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75519" y="19478625"/>
          <a:ext cx="12014531" cy="5258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A2C8-B2E8-49E6-9778-477ACF3374AF}">
  <sheetPr codeName="Sheet49"/>
  <dimension ref="A1:AQ73"/>
  <sheetViews>
    <sheetView tabSelected="1" topLeftCell="J67" workbookViewId="0">
      <selection activeCell="AA116" sqref="AA116"/>
    </sheetView>
  </sheetViews>
  <sheetFormatPr defaultRowHeight="15"/>
  <cols>
    <col min="1" max="1" width="37.42578125" bestFit="1" customWidth="1"/>
    <col min="2" max="2" width="37.7109375" bestFit="1" customWidth="1"/>
    <col min="3" max="3" width="22.140625" bestFit="1" customWidth="1"/>
    <col min="4" max="4" width="29.140625" bestFit="1" customWidth="1"/>
    <col min="5" max="5" width="16.28515625" bestFit="1" customWidth="1"/>
    <col min="6" max="6" width="14.5703125" bestFit="1" customWidth="1"/>
    <col min="7" max="7" width="8" bestFit="1" customWidth="1"/>
    <col min="8" max="8" width="13.7109375" bestFit="1" customWidth="1"/>
    <col min="9" max="9" width="37.42578125" bestFit="1" customWidth="1"/>
    <col min="10" max="10" width="10" bestFit="1" customWidth="1"/>
    <col min="11" max="11" width="15" bestFit="1" customWidth="1"/>
    <col min="12" max="12" width="5.85546875" bestFit="1" customWidth="1"/>
    <col min="13" max="13" width="15.140625" bestFit="1" customWidth="1"/>
    <col min="14" max="14" width="60.140625" bestFit="1" customWidth="1"/>
    <col min="15" max="15" width="38.140625" bestFit="1" customWidth="1"/>
    <col min="16" max="16" width="11.140625" bestFit="1" customWidth="1"/>
    <col min="17" max="17" width="11.5703125" style="4" bestFit="1" customWidth="1"/>
    <col min="18" max="18" width="9.7109375" style="4" bestFit="1" customWidth="1"/>
    <col min="19" max="19" width="14.28515625" style="4" bestFit="1" customWidth="1"/>
    <col min="20" max="20" width="12.140625" style="4" bestFit="1" customWidth="1"/>
    <col min="21" max="21" width="8.7109375" bestFit="1" customWidth="1"/>
    <col min="22" max="22" width="14.85546875" bestFit="1" customWidth="1"/>
    <col min="23" max="23" width="11.140625" bestFit="1" customWidth="1"/>
    <col min="24" max="24" width="22.7109375" bestFit="1" customWidth="1"/>
    <col min="25" max="25" width="36.7109375" bestFit="1" customWidth="1"/>
    <col min="26" max="26" width="15.28515625" bestFit="1" customWidth="1"/>
    <col min="27" max="27" width="14.5703125" bestFit="1" customWidth="1"/>
    <col min="28" max="28" width="37.5703125" bestFit="1" customWidth="1"/>
    <col min="29" max="29" width="11.140625" bestFit="1" customWidth="1"/>
    <col min="30" max="30" width="13.5703125" bestFit="1" customWidth="1"/>
    <col min="31" max="31" width="15.28515625" bestFit="1" customWidth="1"/>
    <col min="32" max="32" width="15.7109375" bestFit="1" customWidth="1"/>
    <col min="33" max="33" width="15" bestFit="1" customWidth="1"/>
    <col min="34" max="34" width="20.140625" bestFit="1" customWidth="1"/>
    <col min="35" max="35" width="24.28515625" bestFit="1" customWidth="1"/>
    <col min="36" max="36" width="84.42578125" bestFit="1" customWidth="1"/>
    <col min="37" max="37" width="69" bestFit="1" customWidth="1"/>
    <col min="38" max="38" width="17.42578125" bestFit="1" customWidth="1"/>
    <col min="39" max="39" width="20.42578125" bestFit="1" customWidth="1"/>
    <col min="40" max="40" width="19.7109375" bestFit="1" customWidth="1"/>
    <col min="41" max="41" width="37.28515625" bestFit="1" customWidth="1"/>
    <col min="42" max="42" width="16.7109375" bestFit="1" customWidth="1"/>
    <col min="43" max="43" width="12" bestFit="1" customWidth="1"/>
  </cols>
  <sheetData>
    <row r="1" spans="1:43">
      <c r="Q1" s="4" t="s">
        <v>0</v>
      </c>
      <c r="S1" s="4" t="s">
        <v>1</v>
      </c>
    </row>
    <row r="2" spans="1:4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s="1" t="s">
        <v>18</v>
      </c>
      <c r="R2" s="1" t="s">
        <v>19</v>
      </c>
      <c r="S2" s="5" t="s">
        <v>18</v>
      </c>
      <c r="T2" s="5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</row>
    <row r="3" spans="1:4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>
        <v>3797082</v>
      </c>
      <c r="H3">
        <v>0</v>
      </c>
      <c r="I3" t="s">
        <v>49</v>
      </c>
      <c r="J3" s="2">
        <v>45661</v>
      </c>
      <c r="K3" t="s">
        <v>50</v>
      </c>
      <c r="L3">
        <v>7</v>
      </c>
      <c r="M3" t="s">
        <v>51</v>
      </c>
      <c r="N3" t="s">
        <v>52</v>
      </c>
      <c r="O3" t="s">
        <v>53</v>
      </c>
      <c r="P3" t="s">
        <v>54</v>
      </c>
      <c r="Q3" s="1">
        <v>2.6</v>
      </c>
      <c r="R3" s="1">
        <v>147.36297711200001</v>
      </c>
      <c r="S3" s="5">
        <v>2.3140000000000001</v>
      </c>
      <c r="T3" s="5">
        <v>131.15304962968</v>
      </c>
      <c r="U3" t="s">
        <v>55</v>
      </c>
      <c r="V3" t="s">
        <v>56</v>
      </c>
      <c r="X3" t="s">
        <v>57</v>
      </c>
      <c r="Y3" t="s">
        <v>58</v>
      </c>
      <c r="Z3" s="2">
        <v>45627</v>
      </c>
      <c r="AA3" s="2">
        <v>45657</v>
      </c>
      <c r="AB3" t="s">
        <v>59</v>
      </c>
      <c r="AC3" t="s">
        <v>60</v>
      </c>
      <c r="AD3" t="s">
        <v>61</v>
      </c>
      <c r="AE3">
        <v>56.678068119999999</v>
      </c>
      <c r="AG3" t="s">
        <v>55</v>
      </c>
      <c r="AH3">
        <v>1</v>
      </c>
      <c r="AI3" s="2">
        <v>45627</v>
      </c>
      <c r="AJ3" t="s">
        <v>62</v>
      </c>
      <c r="AK3" t="s">
        <v>63</v>
      </c>
      <c r="AO3" t="s">
        <v>64</v>
      </c>
    </row>
    <row r="4" spans="1:4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>
        <v>3797082</v>
      </c>
      <c r="H4">
        <v>0</v>
      </c>
      <c r="I4" t="s">
        <v>65</v>
      </c>
      <c r="J4" s="2">
        <v>45661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54</v>
      </c>
      <c r="Q4" s="1">
        <v>0.189</v>
      </c>
      <c r="R4" s="1">
        <v>140.61600000000001</v>
      </c>
      <c r="S4" s="5">
        <v>0.16821</v>
      </c>
      <c r="T4" s="5">
        <v>125.14824</v>
      </c>
      <c r="U4" t="s">
        <v>55</v>
      </c>
      <c r="V4" t="s">
        <v>56</v>
      </c>
      <c r="X4" t="s">
        <v>57</v>
      </c>
      <c r="Y4" t="s">
        <v>58</v>
      </c>
      <c r="Z4" s="2">
        <v>45627</v>
      </c>
      <c r="AA4" s="2">
        <v>45657</v>
      </c>
      <c r="AB4" t="s">
        <v>71</v>
      </c>
      <c r="AC4" t="s">
        <v>72</v>
      </c>
      <c r="AD4" t="s">
        <v>73</v>
      </c>
      <c r="AE4">
        <v>744</v>
      </c>
      <c r="AG4" t="s">
        <v>55</v>
      </c>
      <c r="AH4">
        <v>1</v>
      </c>
      <c r="AI4" s="2">
        <v>45627</v>
      </c>
      <c r="AJ4" t="s">
        <v>74</v>
      </c>
      <c r="AK4" t="s">
        <v>75</v>
      </c>
      <c r="AO4" t="s">
        <v>76</v>
      </c>
    </row>
    <row r="5" spans="1:4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>
        <v>3797082</v>
      </c>
      <c r="H5">
        <v>0</v>
      </c>
      <c r="I5" t="s">
        <v>77</v>
      </c>
      <c r="J5" s="2">
        <v>45661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54</v>
      </c>
      <c r="Q5" s="1">
        <v>2E-3</v>
      </c>
      <c r="R5" s="1">
        <v>64.253018799999992</v>
      </c>
      <c r="S5" s="5">
        <v>1.7800000000000001E-3</v>
      </c>
      <c r="T5" s="5">
        <v>57.185186732000005</v>
      </c>
      <c r="U5" t="s">
        <v>55</v>
      </c>
      <c r="V5" t="s">
        <v>56</v>
      </c>
      <c r="X5" t="s">
        <v>57</v>
      </c>
      <c r="Y5" t="s">
        <v>58</v>
      </c>
      <c r="Z5" s="2">
        <v>45627</v>
      </c>
      <c r="AA5" s="2">
        <v>45657</v>
      </c>
      <c r="AB5" t="s">
        <v>83</v>
      </c>
      <c r="AC5" t="s">
        <v>84</v>
      </c>
      <c r="AD5" t="s">
        <v>85</v>
      </c>
      <c r="AE5">
        <v>32126.509399999999</v>
      </c>
      <c r="AG5" t="s">
        <v>55</v>
      </c>
      <c r="AH5">
        <v>1</v>
      </c>
      <c r="AI5" s="2">
        <v>45627</v>
      </c>
      <c r="AJ5" t="s">
        <v>86</v>
      </c>
      <c r="AK5" t="s">
        <v>87</v>
      </c>
      <c r="AO5" t="s">
        <v>88</v>
      </c>
    </row>
    <row r="6" spans="1:4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>
        <v>3797082</v>
      </c>
      <c r="H6">
        <v>0</v>
      </c>
      <c r="I6" t="s">
        <v>89</v>
      </c>
      <c r="J6" s="2">
        <v>45661</v>
      </c>
      <c r="K6" t="s">
        <v>90</v>
      </c>
      <c r="L6">
        <v>4</v>
      </c>
      <c r="M6" t="s">
        <v>91</v>
      </c>
      <c r="N6" t="s">
        <v>92</v>
      </c>
      <c r="O6" t="s">
        <v>92</v>
      </c>
      <c r="P6" t="s">
        <v>54</v>
      </c>
      <c r="Q6" s="1">
        <v>0.01</v>
      </c>
      <c r="R6" s="1">
        <v>16.833637490000001</v>
      </c>
      <c r="S6" s="5">
        <v>8.8999999999999999E-3</v>
      </c>
      <c r="T6" s="5">
        <v>14.9819373661</v>
      </c>
      <c r="U6" t="s">
        <v>55</v>
      </c>
      <c r="V6" t="s">
        <v>56</v>
      </c>
      <c r="X6" t="s">
        <v>57</v>
      </c>
      <c r="Y6" t="s">
        <v>58</v>
      </c>
      <c r="Z6" s="2">
        <v>45627</v>
      </c>
      <c r="AA6" s="2">
        <v>45657</v>
      </c>
      <c r="AB6" t="s">
        <v>93</v>
      </c>
      <c r="AC6" t="s">
        <v>60</v>
      </c>
      <c r="AD6" t="s">
        <v>94</v>
      </c>
      <c r="AE6">
        <v>1683.3637490000001</v>
      </c>
      <c r="AG6" t="s">
        <v>55</v>
      </c>
      <c r="AH6">
        <v>1</v>
      </c>
      <c r="AI6" s="2">
        <v>45627</v>
      </c>
      <c r="AJ6" t="s">
        <v>95</v>
      </c>
      <c r="AK6" t="s">
        <v>96</v>
      </c>
      <c r="AO6" t="s">
        <v>97</v>
      </c>
    </row>
    <row r="7" spans="1:4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>
        <v>3797082</v>
      </c>
      <c r="H7">
        <v>0</v>
      </c>
      <c r="I7" t="s">
        <v>49</v>
      </c>
      <c r="J7" s="2">
        <v>45661</v>
      </c>
      <c r="K7" t="s">
        <v>98</v>
      </c>
      <c r="L7" t="s">
        <v>99</v>
      </c>
      <c r="M7" t="s">
        <v>100</v>
      </c>
      <c r="N7" t="s">
        <v>101</v>
      </c>
      <c r="O7" t="s">
        <v>101</v>
      </c>
      <c r="P7" t="s">
        <v>54</v>
      </c>
      <c r="Q7" s="1">
        <v>0</v>
      </c>
      <c r="R7" s="1">
        <v>0</v>
      </c>
      <c r="S7" s="5">
        <v>0</v>
      </c>
      <c r="T7" s="5">
        <v>0</v>
      </c>
      <c r="U7" t="s">
        <v>55</v>
      </c>
      <c r="V7" t="s">
        <v>56</v>
      </c>
      <c r="X7" t="s">
        <v>57</v>
      </c>
      <c r="Y7" t="s">
        <v>58</v>
      </c>
      <c r="Z7" s="2">
        <v>45627</v>
      </c>
      <c r="AA7" s="2">
        <v>45657</v>
      </c>
      <c r="AB7" t="s">
        <v>102</v>
      </c>
      <c r="AC7" t="s">
        <v>60</v>
      </c>
      <c r="AD7" t="s">
        <v>61</v>
      </c>
      <c r="AE7">
        <v>2.9126642000000001E-2</v>
      </c>
      <c r="AG7" t="s">
        <v>55</v>
      </c>
      <c r="AH7">
        <v>1</v>
      </c>
      <c r="AI7" s="2">
        <v>45627</v>
      </c>
      <c r="AJ7" t="s">
        <v>103</v>
      </c>
      <c r="AK7" t="s">
        <v>104</v>
      </c>
      <c r="AO7" t="s">
        <v>64</v>
      </c>
    </row>
    <row r="8" spans="1:4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3797082</v>
      </c>
      <c r="H8">
        <v>0</v>
      </c>
      <c r="I8" t="s">
        <v>49</v>
      </c>
      <c r="J8" s="2">
        <v>45661</v>
      </c>
      <c r="K8" t="s">
        <v>105</v>
      </c>
      <c r="L8" t="s">
        <v>106</v>
      </c>
      <c r="M8" t="s">
        <v>107</v>
      </c>
      <c r="N8" t="s">
        <v>108</v>
      </c>
      <c r="O8" t="s">
        <v>109</v>
      </c>
      <c r="P8" t="s">
        <v>54</v>
      </c>
      <c r="Q8" s="1">
        <v>0.12</v>
      </c>
      <c r="R8" s="1">
        <v>100.04387559599999</v>
      </c>
      <c r="S8" s="5">
        <v>0.10679999999999999</v>
      </c>
      <c r="T8" s="5">
        <v>89.039049280439983</v>
      </c>
      <c r="U8" t="s">
        <v>55</v>
      </c>
      <c r="V8" t="s">
        <v>56</v>
      </c>
      <c r="X8" t="s">
        <v>57</v>
      </c>
      <c r="Y8" t="s">
        <v>58</v>
      </c>
      <c r="Z8" s="2">
        <v>45627</v>
      </c>
      <c r="AA8" s="2">
        <v>45657</v>
      </c>
      <c r="AB8" t="s">
        <v>110</v>
      </c>
      <c r="AC8" t="s">
        <v>60</v>
      </c>
      <c r="AD8" t="s">
        <v>61</v>
      </c>
      <c r="AE8">
        <v>833.69896329999995</v>
      </c>
      <c r="AG8" t="s">
        <v>55</v>
      </c>
      <c r="AH8">
        <v>1</v>
      </c>
      <c r="AI8" s="2">
        <v>45627</v>
      </c>
      <c r="AJ8" t="s">
        <v>111</v>
      </c>
      <c r="AK8" t="s">
        <v>112</v>
      </c>
      <c r="AO8" t="s">
        <v>64</v>
      </c>
    </row>
    <row r="9" spans="1:4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>
        <v>3797082</v>
      </c>
      <c r="H9">
        <v>0</v>
      </c>
      <c r="I9" t="s">
        <v>49</v>
      </c>
      <c r="J9" s="2">
        <v>45661</v>
      </c>
      <c r="K9" t="s">
        <v>113</v>
      </c>
      <c r="L9" t="s">
        <v>114</v>
      </c>
      <c r="M9" t="s">
        <v>115</v>
      </c>
      <c r="N9" t="s">
        <v>116</v>
      </c>
      <c r="O9" t="s">
        <v>117</v>
      </c>
      <c r="P9" t="s">
        <v>54</v>
      </c>
      <c r="Q9" s="1">
        <v>2.99</v>
      </c>
      <c r="R9" s="1">
        <v>14.950000000000001</v>
      </c>
      <c r="S9" s="5">
        <v>2.6611000000000002</v>
      </c>
      <c r="T9" s="5">
        <v>13.305500000000002</v>
      </c>
      <c r="U9" t="s">
        <v>55</v>
      </c>
      <c r="V9" t="s">
        <v>56</v>
      </c>
      <c r="X9" t="s">
        <v>57</v>
      </c>
      <c r="Y9" t="s">
        <v>58</v>
      </c>
      <c r="Z9" s="2">
        <v>45627</v>
      </c>
      <c r="AA9" s="2">
        <v>45657</v>
      </c>
      <c r="AB9" t="s">
        <v>118</v>
      </c>
      <c r="AC9" t="s">
        <v>60</v>
      </c>
      <c r="AD9" t="s">
        <v>61</v>
      </c>
      <c r="AE9">
        <v>5</v>
      </c>
      <c r="AG9" t="s">
        <v>55</v>
      </c>
      <c r="AH9">
        <v>1</v>
      </c>
      <c r="AI9" s="2">
        <v>45627</v>
      </c>
      <c r="AJ9" t="s">
        <v>119</v>
      </c>
      <c r="AK9" t="s">
        <v>120</v>
      </c>
      <c r="AO9" t="s">
        <v>64</v>
      </c>
    </row>
    <row r="10" spans="1:4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>
        <v>3797082</v>
      </c>
      <c r="H10">
        <v>0</v>
      </c>
      <c r="I10" t="s">
        <v>121</v>
      </c>
      <c r="J10" s="2">
        <v>45661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  <c r="P10" t="s">
        <v>54</v>
      </c>
      <c r="Q10" s="1">
        <v>0.25</v>
      </c>
      <c r="R10" s="1">
        <v>186</v>
      </c>
      <c r="S10" s="5">
        <v>0.2225</v>
      </c>
      <c r="T10" s="5">
        <v>165.54</v>
      </c>
      <c r="U10" t="s">
        <v>55</v>
      </c>
      <c r="V10" t="s">
        <v>56</v>
      </c>
      <c r="X10" t="s">
        <v>57</v>
      </c>
      <c r="Y10" t="s">
        <v>58</v>
      </c>
      <c r="Z10" s="2">
        <v>45627</v>
      </c>
      <c r="AA10" s="2">
        <v>45657</v>
      </c>
      <c r="AB10" t="s">
        <v>127</v>
      </c>
      <c r="AC10" t="s">
        <v>72</v>
      </c>
      <c r="AD10" t="s">
        <v>128</v>
      </c>
      <c r="AE10">
        <v>744</v>
      </c>
      <c r="AG10" t="s">
        <v>55</v>
      </c>
      <c r="AH10">
        <v>1</v>
      </c>
      <c r="AI10" s="2">
        <v>45627</v>
      </c>
      <c r="AJ10" t="s">
        <v>129</v>
      </c>
      <c r="AK10" t="s">
        <v>130</v>
      </c>
      <c r="AO10" t="s">
        <v>131</v>
      </c>
    </row>
    <row r="11" spans="1:43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>
        <v>3797082</v>
      </c>
      <c r="H11">
        <v>0</v>
      </c>
      <c r="I11" t="s">
        <v>89</v>
      </c>
      <c r="J11" s="2">
        <v>45661</v>
      </c>
      <c r="K11" t="s">
        <v>132</v>
      </c>
      <c r="L11" t="s">
        <v>133</v>
      </c>
      <c r="M11" t="s">
        <v>134</v>
      </c>
      <c r="N11" t="s">
        <v>135</v>
      </c>
      <c r="O11" t="s">
        <v>136</v>
      </c>
      <c r="P11" t="s">
        <v>54</v>
      </c>
      <c r="Q11" s="1">
        <v>19.71</v>
      </c>
      <c r="R11" s="1">
        <v>78.834954240000002</v>
      </c>
      <c r="S11" s="5">
        <v>17.541900000000002</v>
      </c>
      <c r="T11" s="5">
        <v>70.163109273600014</v>
      </c>
      <c r="U11" t="s">
        <v>55</v>
      </c>
      <c r="V11" t="s">
        <v>56</v>
      </c>
      <c r="X11" t="s">
        <v>57</v>
      </c>
      <c r="Y11" t="s">
        <v>58</v>
      </c>
      <c r="Z11" s="2">
        <v>45627</v>
      </c>
      <c r="AA11" s="2">
        <v>45657</v>
      </c>
      <c r="AB11" t="s">
        <v>137</v>
      </c>
      <c r="AC11" t="s">
        <v>138</v>
      </c>
      <c r="AD11" t="s">
        <v>94</v>
      </c>
      <c r="AE11">
        <v>3.9997440000000002</v>
      </c>
      <c r="AG11" t="s">
        <v>55</v>
      </c>
      <c r="AH11">
        <v>1</v>
      </c>
      <c r="AI11" s="2">
        <v>45627</v>
      </c>
      <c r="AJ11" t="s">
        <v>139</v>
      </c>
      <c r="AK11" t="s">
        <v>140</v>
      </c>
      <c r="AO11" t="s">
        <v>97</v>
      </c>
    </row>
    <row r="12" spans="1:43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>
        <v>3797082</v>
      </c>
      <c r="H12">
        <v>0</v>
      </c>
      <c r="I12" t="s">
        <v>77</v>
      </c>
      <c r="J12" s="2">
        <v>45661</v>
      </c>
      <c r="K12" t="s">
        <v>141</v>
      </c>
      <c r="L12" t="s">
        <v>142</v>
      </c>
      <c r="M12" t="s">
        <v>143</v>
      </c>
      <c r="N12" t="s">
        <v>144</v>
      </c>
      <c r="O12" t="s">
        <v>145</v>
      </c>
      <c r="P12" t="s">
        <v>54</v>
      </c>
      <c r="Q12" s="1">
        <v>0.28999999999999998</v>
      </c>
      <c r="R12" s="1">
        <v>215.76</v>
      </c>
      <c r="S12" s="5">
        <v>0.2581</v>
      </c>
      <c r="T12" s="5">
        <v>192.0264</v>
      </c>
      <c r="U12" t="s">
        <v>55</v>
      </c>
      <c r="V12" t="s">
        <v>56</v>
      </c>
      <c r="X12" t="s">
        <v>57</v>
      </c>
      <c r="Y12" t="s">
        <v>58</v>
      </c>
      <c r="Z12" s="2">
        <v>45627</v>
      </c>
      <c r="AA12" s="2">
        <v>45657</v>
      </c>
      <c r="AB12" t="s">
        <v>146</v>
      </c>
      <c r="AC12" t="s">
        <v>72</v>
      </c>
      <c r="AD12" t="s">
        <v>85</v>
      </c>
      <c r="AE12">
        <v>744</v>
      </c>
      <c r="AG12" t="s">
        <v>55</v>
      </c>
      <c r="AH12">
        <v>1</v>
      </c>
      <c r="AI12" s="2">
        <v>45627</v>
      </c>
      <c r="AJ12" t="s">
        <v>147</v>
      </c>
      <c r="AK12" t="s">
        <v>148</v>
      </c>
      <c r="AO12" t="s">
        <v>88</v>
      </c>
    </row>
    <row r="13" spans="1:4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>
        <v>3797082</v>
      </c>
      <c r="H13">
        <v>0</v>
      </c>
      <c r="I13" t="s">
        <v>149</v>
      </c>
      <c r="J13" s="2">
        <v>45661</v>
      </c>
      <c r="K13" t="s">
        <v>150</v>
      </c>
      <c r="L13" t="s">
        <v>151</v>
      </c>
      <c r="M13" t="s">
        <v>152</v>
      </c>
      <c r="N13" t="s">
        <v>153</v>
      </c>
      <c r="O13" t="s">
        <v>154</v>
      </c>
      <c r="P13" t="s">
        <v>54</v>
      </c>
      <c r="Q13" s="1">
        <v>4.0000000000000001E-3</v>
      </c>
      <c r="R13" s="1">
        <v>3.7399999999999998E-4</v>
      </c>
      <c r="S13" s="5">
        <v>3.5600000000000002E-3</v>
      </c>
      <c r="T13" s="5">
        <v>3.3286000000000004E-4</v>
      </c>
      <c r="U13" t="s">
        <v>55</v>
      </c>
      <c r="V13" t="s">
        <v>56</v>
      </c>
      <c r="X13" t="s">
        <v>57</v>
      </c>
      <c r="Y13" t="s">
        <v>58</v>
      </c>
      <c r="Z13" s="2">
        <v>45627</v>
      </c>
      <c r="AA13" s="2">
        <v>45657</v>
      </c>
      <c r="AB13" t="s">
        <v>155</v>
      </c>
      <c r="AC13" t="s">
        <v>84</v>
      </c>
      <c r="AD13" t="s">
        <v>156</v>
      </c>
      <c r="AE13">
        <v>9.35E-2</v>
      </c>
      <c r="AG13" t="s">
        <v>55</v>
      </c>
      <c r="AH13">
        <v>1</v>
      </c>
      <c r="AI13" s="2">
        <v>45627</v>
      </c>
      <c r="AJ13" t="s">
        <v>157</v>
      </c>
      <c r="AK13" t="s">
        <v>158</v>
      </c>
      <c r="AO13" t="s">
        <v>159</v>
      </c>
    </row>
    <row r="14" spans="1:43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>
        <v>3797082</v>
      </c>
      <c r="H14">
        <v>0</v>
      </c>
      <c r="I14" t="s">
        <v>89</v>
      </c>
      <c r="J14" s="2">
        <v>45661</v>
      </c>
      <c r="K14" t="s">
        <v>78</v>
      </c>
      <c r="L14" t="s">
        <v>160</v>
      </c>
      <c r="M14" t="s">
        <v>161</v>
      </c>
      <c r="N14" t="s">
        <v>162</v>
      </c>
      <c r="O14" t="s">
        <v>82</v>
      </c>
      <c r="P14" t="s">
        <v>54</v>
      </c>
      <c r="Q14" s="1">
        <v>76.8</v>
      </c>
      <c r="R14" s="1">
        <v>76.795084799999998</v>
      </c>
      <c r="S14" s="5">
        <v>68.352000000000004</v>
      </c>
      <c r="T14" s="5">
        <v>68.347625472000004</v>
      </c>
      <c r="U14" t="s">
        <v>55</v>
      </c>
      <c r="V14" t="s">
        <v>56</v>
      </c>
      <c r="X14" t="s">
        <v>57</v>
      </c>
      <c r="Y14" t="s">
        <v>58</v>
      </c>
      <c r="Z14" s="2">
        <v>45627</v>
      </c>
      <c r="AA14" s="2">
        <v>45657</v>
      </c>
      <c r="AB14" t="s">
        <v>137</v>
      </c>
      <c r="AC14" t="s">
        <v>138</v>
      </c>
      <c r="AD14" t="s">
        <v>94</v>
      </c>
      <c r="AE14">
        <v>0.99993600000000005</v>
      </c>
      <c r="AG14" t="s">
        <v>55</v>
      </c>
      <c r="AH14">
        <v>1</v>
      </c>
      <c r="AI14" s="2">
        <v>45627</v>
      </c>
      <c r="AJ14" t="s">
        <v>163</v>
      </c>
      <c r="AK14" t="s">
        <v>164</v>
      </c>
      <c r="AO14" t="s">
        <v>97</v>
      </c>
    </row>
    <row r="15" spans="1:43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>
        <v>3797082</v>
      </c>
      <c r="H15">
        <v>0</v>
      </c>
      <c r="I15" t="s">
        <v>49</v>
      </c>
      <c r="J15" s="2">
        <v>45661</v>
      </c>
      <c r="K15" t="s">
        <v>165</v>
      </c>
      <c r="L15">
        <v>3</v>
      </c>
      <c r="M15" t="s">
        <v>166</v>
      </c>
      <c r="N15" t="s">
        <v>167</v>
      </c>
      <c r="O15" t="s">
        <v>168</v>
      </c>
      <c r="P15" t="s">
        <v>54</v>
      </c>
      <c r="Q15" s="1">
        <v>0.08</v>
      </c>
      <c r="R15" s="1">
        <v>0.91377308400000001</v>
      </c>
      <c r="S15" s="5">
        <v>7.1199999999999999E-2</v>
      </c>
      <c r="T15" s="5">
        <v>0.81325804476000008</v>
      </c>
      <c r="U15" t="s">
        <v>55</v>
      </c>
      <c r="V15" t="s">
        <v>56</v>
      </c>
      <c r="X15" t="s">
        <v>57</v>
      </c>
      <c r="Y15" t="s">
        <v>58</v>
      </c>
      <c r="Z15" s="2">
        <v>45627</v>
      </c>
      <c r="AA15" s="2">
        <v>45657</v>
      </c>
      <c r="AB15" t="s">
        <v>169</v>
      </c>
      <c r="AC15" t="s">
        <v>60</v>
      </c>
      <c r="AD15" t="s">
        <v>61</v>
      </c>
      <c r="AE15">
        <v>11.42216355</v>
      </c>
      <c r="AG15" t="s">
        <v>55</v>
      </c>
      <c r="AH15">
        <v>1</v>
      </c>
      <c r="AI15" s="2">
        <v>45627</v>
      </c>
      <c r="AJ15" t="s">
        <v>170</v>
      </c>
      <c r="AK15" t="s">
        <v>171</v>
      </c>
      <c r="AO15" t="s">
        <v>64</v>
      </c>
    </row>
    <row r="16" spans="1:43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>
        <v>3797082</v>
      </c>
      <c r="H16">
        <v>0</v>
      </c>
      <c r="I16" t="s">
        <v>172</v>
      </c>
      <c r="J16" s="2">
        <v>45661</v>
      </c>
      <c r="K16" t="s">
        <v>78</v>
      </c>
      <c r="L16" t="s">
        <v>173</v>
      </c>
      <c r="M16" t="s">
        <v>174</v>
      </c>
      <c r="N16" t="s">
        <v>175</v>
      </c>
      <c r="O16" t="s">
        <v>82</v>
      </c>
      <c r="P16" t="s">
        <v>54</v>
      </c>
      <c r="Q16" s="1">
        <v>19.2</v>
      </c>
      <c r="R16" s="1">
        <v>19.198771199999999</v>
      </c>
      <c r="S16" s="5">
        <v>17.088000000000001</v>
      </c>
      <c r="T16" s="5">
        <v>17.086906368000001</v>
      </c>
      <c r="U16" t="s">
        <v>55</v>
      </c>
      <c r="V16" t="s">
        <v>56</v>
      </c>
      <c r="X16" t="s">
        <v>57</v>
      </c>
      <c r="Y16" t="s">
        <v>58</v>
      </c>
      <c r="Z16" s="2">
        <v>45627</v>
      </c>
      <c r="AA16" s="2">
        <v>45657</v>
      </c>
      <c r="AB16" t="s">
        <v>137</v>
      </c>
      <c r="AC16" t="s">
        <v>138</v>
      </c>
      <c r="AD16" t="s">
        <v>176</v>
      </c>
      <c r="AE16">
        <v>0.99993600000000005</v>
      </c>
      <c r="AG16" t="s">
        <v>55</v>
      </c>
      <c r="AH16">
        <v>1</v>
      </c>
      <c r="AI16" s="2">
        <v>45627</v>
      </c>
      <c r="AJ16" t="s">
        <v>177</v>
      </c>
      <c r="AK16" t="s">
        <v>178</v>
      </c>
      <c r="AO16" t="s">
        <v>179</v>
      </c>
    </row>
    <row r="17" spans="1:41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  <c r="G17">
        <v>3797082</v>
      </c>
      <c r="H17">
        <v>0</v>
      </c>
      <c r="I17" t="s">
        <v>89</v>
      </c>
      <c r="J17" s="2">
        <v>45661</v>
      </c>
      <c r="K17" t="s">
        <v>78</v>
      </c>
      <c r="L17" t="s">
        <v>180</v>
      </c>
      <c r="M17" t="s">
        <v>181</v>
      </c>
      <c r="N17" t="s">
        <v>182</v>
      </c>
      <c r="O17" t="s">
        <v>82</v>
      </c>
      <c r="P17" t="s">
        <v>54</v>
      </c>
      <c r="Q17" s="1">
        <v>38.4</v>
      </c>
      <c r="R17" s="1">
        <v>38.397542399999999</v>
      </c>
      <c r="S17" s="5">
        <v>34.176000000000002</v>
      </c>
      <c r="T17" s="5">
        <v>34.173812736000002</v>
      </c>
      <c r="U17" t="s">
        <v>55</v>
      </c>
      <c r="V17" t="s">
        <v>56</v>
      </c>
      <c r="X17" t="s">
        <v>57</v>
      </c>
      <c r="Y17" t="s">
        <v>58</v>
      </c>
      <c r="Z17" s="2">
        <v>45627</v>
      </c>
      <c r="AA17" s="2">
        <v>45657</v>
      </c>
      <c r="AB17" t="s">
        <v>137</v>
      </c>
      <c r="AC17" t="s">
        <v>138</v>
      </c>
      <c r="AD17" t="s">
        <v>94</v>
      </c>
      <c r="AE17">
        <v>0.99993600000000005</v>
      </c>
      <c r="AG17" t="s">
        <v>55</v>
      </c>
      <c r="AH17">
        <v>1</v>
      </c>
      <c r="AI17" s="2">
        <v>45627</v>
      </c>
      <c r="AJ17" t="s">
        <v>183</v>
      </c>
      <c r="AK17" t="s">
        <v>184</v>
      </c>
      <c r="AO17" t="s">
        <v>97</v>
      </c>
    </row>
    <row r="18" spans="1:41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F18" t="s">
        <v>48</v>
      </c>
      <c r="G18">
        <v>3797082</v>
      </c>
      <c r="H18">
        <v>0</v>
      </c>
      <c r="I18" t="s">
        <v>77</v>
      </c>
      <c r="J18" s="2">
        <v>45661</v>
      </c>
      <c r="K18" t="s">
        <v>132</v>
      </c>
      <c r="L18" t="s">
        <v>185</v>
      </c>
      <c r="M18" t="s">
        <v>186</v>
      </c>
      <c r="N18" t="s">
        <v>187</v>
      </c>
      <c r="O18" t="s">
        <v>136</v>
      </c>
      <c r="P18" t="s">
        <v>54</v>
      </c>
      <c r="Q18" s="1">
        <v>0.13200000000000001</v>
      </c>
      <c r="R18" s="1">
        <v>196.45067085600002</v>
      </c>
      <c r="S18" s="5">
        <v>0.11748</v>
      </c>
      <c r="T18" s="5">
        <v>174.84109706184</v>
      </c>
      <c r="U18" t="s">
        <v>55</v>
      </c>
      <c r="V18" t="s">
        <v>56</v>
      </c>
      <c r="X18" t="s">
        <v>57</v>
      </c>
      <c r="Y18" t="s">
        <v>58</v>
      </c>
      <c r="Z18" s="2">
        <v>45627</v>
      </c>
      <c r="AA18" s="2">
        <v>45657</v>
      </c>
      <c r="AB18" t="s">
        <v>188</v>
      </c>
      <c r="AC18" t="s">
        <v>189</v>
      </c>
      <c r="AD18" t="s">
        <v>85</v>
      </c>
      <c r="AE18">
        <v>1488.2626580000001</v>
      </c>
      <c r="AG18" t="s">
        <v>55</v>
      </c>
      <c r="AH18">
        <v>1</v>
      </c>
      <c r="AI18" s="2">
        <v>45627</v>
      </c>
      <c r="AJ18" t="s">
        <v>190</v>
      </c>
      <c r="AK18" t="s">
        <v>191</v>
      </c>
      <c r="AO18" t="s">
        <v>88</v>
      </c>
    </row>
    <row r="19" spans="1:41">
      <c r="A19" t="s">
        <v>43</v>
      </c>
      <c r="B19" t="s">
        <v>44</v>
      </c>
      <c r="C19" t="s">
        <v>45</v>
      </c>
      <c r="D19" t="s">
        <v>46</v>
      </c>
      <c r="E19" t="s">
        <v>47</v>
      </c>
      <c r="F19" t="s">
        <v>48</v>
      </c>
      <c r="G19">
        <v>3797082</v>
      </c>
      <c r="H19">
        <v>0</v>
      </c>
      <c r="I19" t="s">
        <v>49</v>
      </c>
      <c r="J19" s="2">
        <v>45661</v>
      </c>
      <c r="K19" t="s">
        <v>192</v>
      </c>
      <c r="L19">
        <v>6</v>
      </c>
      <c r="M19" t="s">
        <v>193</v>
      </c>
      <c r="N19" t="s">
        <v>194</v>
      </c>
      <c r="O19" t="s">
        <v>195</v>
      </c>
      <c r="P19" t="s">
        <v>54</v>
      </c>
      <c r="Q19" s="1">
        <v>0.11</v>
      </c>
      <c r="R19" s="1">
        <v>0.35177637264</v>
      </c>
      <c r="S19" s="5">
        <v>9.7900000000000001E-2</v>
      </c>
      <c r="T19" s="5">
        <v>0.31308097164960003</v>
      </c>
      <c r="U19" t="s">
        <v>55</v>
      </c>
      <c r="V19" t="s">
        <v>56</v>
      </c>
      <c r="X19" t="s">
        <v>57</v>
      </c>
      <c r="Y19" t="s">
        <v>58</v>
      </c>
      <c r="Z19" s="2">
        <v>45627</v>
      </c>
      <c r="AA19" s="2">
        <v>45657</v>
      </c>
      <c r="AB19" t="s">
        <v>110</v>
      </c>
      <c r="AC19" t="s">
        <v>60</v>
      </c>
      <c r="AD19" t="s">
        <v>61</v>
      </c>
      <c r="AE19">
        <v>3.197967024</v>
      </c>
      <c r="AG19" t="s">
        <v>55</v>
      </c>
      <c r="AH19">
        <v>1</v>
      </c>
      <c r="AI19" s="2">
        <v>45627</v>
      </c>
      <c r="AJ19" t="s">
        <v>196</v>
      </c>
      <c r="AK19" t="s">
        <v>197</v>
      </c>
      <c r="AO19" t="s">
        <v>64</v>
      </c>
    </row>
    <row r="20" spans="1:41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48</v>
      </c>
      <c r="G20">
        <v>3797082</v>
      </c>
      <c r="H20">
        <v>0</v>
      </c>
      <c r="I20" t="s">
        <v>89</v>
      </c>
      <c r="J20" s="2">
        <v>45661</v>
      </c>
      <c r="K20" t="s">
        <v>141</v>
      </c>
      <c r="L20" t="s">
        <v>106</v>
      </c>
      <c r="M20" t="s">
        <v>198</v>
      </c>
      <c r="N20" t="s">
        <v>199</v>
      </c>
      <c r="O20" t="s">
        <v>145</v>
      </c>
      <c r="P20" t="s">
        <v>54</v>
      </c>
      <c r="Q20" s="1">
        <v>0.12</v>
      </c>
      <c r="R20" s="1">
        <v>0.11267290692</v>
      </c>
      <c r="S20" s="5">
        <v>0.10679999999999999</v>
      </c>
      <c r="T20" s="5">
        <v>0.1002788871588</v>
      </c>
      <c r="U20" t="s">
        <v>55</v>
      </c>
      <c r="V20" t="s">
        <v>56</v>
      </c>
      <c r="X20" t="s">
        <v>57</v>
      </c>
      <c r="Y20" t="s">
        <v>58</v>
      </c>
      <c r="Z20" s="2">
        <v>45627</v>
      </c>
      <c r="AA20" s="2">
        <v>45657</v>
      </c>
      <c r="AB20" t="s">
        <v>110</v>
      </c>
      <c r="AC20" t="s">
        <v>60</v>
      </c>
      <c r="AD20" t="s">
        <v>94</v>
      </c>
      <c r="AE20">
        <v>0.938940891</v>
      </c>
      <c r="AG20" t="s">
        <v>55</v>
      </c>
      <c r="AH20">
        <v>1</v>
      </c>
      <c r="AI20" s="2">
        <v>45627</v>
      </c>
      <c r="AJ20" t="s">
        <v>200</v>
      </c>
      <c r="AK20" t="s">
        <v>201</v>
      </c>
      <c r="AO20" t="s">
        <v>97</v>
      </c>
    </row>
    <row r="21" spans="1:41">
      <c r="A21" t="s">
        <v>43</v>
      </c>
      <c r="B21" t="s">
        <v>44</v>
      </c>
      <c r="C21" t="s">
        <v>45</v>
      </c>
      <c r="D21" t="s">
        <v>46</v>
      </c>
      <c r="E21" t="s">
        <v>47</v>
      </c>
      <c r="F21" t="s">
        <v>48</v>
      </c>
      <c r="G21">
        <v>3797082</v>
      </c>
      <c r="H21">
        <v>0</v>
      </c>
      <c r="I21" t="s">
        <v>172</v>
      </c>
      <c r="J21" s="2">
        <v>45661</v>
      </c>
      <c r="K21" t="s">
        <v>202</v>
      </c>
      <c r="L21" t="s">
        <v>203</v>
      </c>
      <c r="M21" t="s">
        <v>204</v>
      </c>
      <c r="N21" t="s">
        <v>205</v>
      </c>
      <c r="O21" t="s">
        <v>206</v>
      </c>
      <c r="P21" t="s">
        <v>54</v>
      </c>
      <c r="Q21" s="1">
        <v>4.4999999999999998E-2</v>
      </c>
      <c r="R21" s="1">
        <v>19.890637784999999</v>
      </c>
      <c r="S21" s="5">
        <v>4.0050000000000002E-2</v>
      </c>
      <c r="T21" s="5">
        <v>17.702667628650001</v>
      </c>
      <c r="U21" t="s">
        <v>55</v>
      </c>
      <c r="V21" t="s">
        <v>56</v>
      </c>
      <c r="X21" t="s">
        <v>57</v>
      </c>
      <c r="Y21" t="s">
        <v>58</v>
      </c>
      <c r="Z21" s="2">
        <v>45627</v>
      </c>
      <c r="AA21" s="2">
        <v>45657</v>
      </c>
      <c r="AB21" t="s">
        <v>207</v>
      </c>
      <c r="AC21" t="s">
        <v>189</v>
      </c>
      <c r="AD21" t="s">
        <v>176</v>
      </c>
      <c r="AE21">
        <v>442.01417300000003</v>
      </c>
      <c r="AG21" t="s">
        <v>55</v>
      </c>
      <c r="AH21">
        <v>1</v>
      </c>
      <c r="AI21" s="2">
        <v>45627</v>
      </c>
      <c r="AJ21" t="s">
        <v>208</v>
      </c>
      <c r="AK21" t="s">
        <v>209</v>
      </c>
      <c r="AO21" t="s">
        <v>179</v>
      </c>
    </row>
    <row r="22" spans="1:41">
      <c r="A22" t="s">
        <v>43</v>
      </c>
      <c r="B22" t="s">
        <v>44</v>
      </c>
      <c r="C22" t="s">
        <v>45</v>
      </c>
      <c r="D22" t="s">
        <v>46</v>
      </c>
      <c r="E22" t="s">
        <v>47</v>
      </c>
      <c r="F22" t="s">
        <v>48</v>
      </c>
      <c r="G22">
        <v>3797082</v>
      </c>
      <c r="H22">
        <v>0</v>
      </c>
      <c r="I22" t="s">
        <v>89</v>
      </c>
      <c r="J22" s="2">
        <v>45661</v>
      </c>
      <c r="K22" t="s">
        <v>132</v>
      </c>
      <c r="L22" t="s">
        <v>210</v>
      </c>
      <c r="M22" t="s">
        <v>211</v>
      </c>
      <c r="N22" t="s">
        <v>212</v>
      </c>
      <c r="O22" t="s">
        <v>136</v>
      </c>
      <c r="P22" t="s">
        <v>54</v>
      </c>
      <c r="Q22" s="1">
        <v>73.22</v>
      </c>
      <c r="R22" s="1">
        <v>73.21531392</v>
      </c>
      <c r="S22" s="5">
        <v>65.165800000000004</v>
      </c>
      <c r="T22" s="5">
        <v>65.161629388800009</v>
      </c>
      <c r="U22" t="s">
        <v>55</v>
      </c>
      <c r="V22" t="s">
        <v>56</v>
      </c>
      <c r="X22" t="s">
        <v>57</v>
      </c>
      <c r="Y22" t="s">
        <v>58</v>
      </c>
      <c r="Z22" s="2">
        <v>45627</v>
      </c>
      <c r="AA22" s="2">
        <v>45657</v>
      </c>
      <c r="AB22" t="s">
        <v>137</v>
      </c>
      <c r="AC22" t="s">
        <v>138</v>
      </c>
      <c r="AD22" t="s">
        <v>94</v>
      </c>
      <c r="AE22">
        <v>0.99993600000000005</v>
      </c>
      <c r="AG22" t="s">
        <v>55</v>
      </c>
      <c r="AH22">
        <v>1</v>
      </c>
      <c r="AI22" s="2">
        <v>45627</v>
      </c>
      <c r="AJ22" t="s">
        <v>213</v>
      </c>
      <c r="AK22" t="s">
        <v>214</v>
      </c>
      <c r="AO22" t="s">
        <v>97</v>
      </c>
    </row>
    <row r="23" spans="1:41">
      <c r="A23" t="s">
        <v>43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>
        <v>3797082</v>
      </c>
      <c r="H23">
        <v>0</v>
      </c>
      <c r="I23" t="s">
        <v>65</v>
      </c>
      <c r="J23" s="2">
        <v>45661</v>
      </c>
      <c r="K23" t="s">
        <v>215</v>
      </c>
      <c r="L23" t="s">
        <v>173</v>
      </c>
      <c r="M23" t="s">
        <v>216</v>
      </c>
      <c r="N23" t="s">
        <v>217</v>
      </c>
      <c r="O23" t="s">
        <v>218</v>
      </c>
      <c r="P23" t="s">
        <v>54</v>
      </c>
      <c r="Q23" s="1">
        <v>0.93200000000000005</v>
      </c>
      <c r="R23" s="1">
        <v>693.39248499600001</v>
      </c>
      <c r="S23" s="5">
        <v>0.82948000000000011</v>
      </c>
      <c r="T23" s="5">
        <v>617.11931164644</v>
      </c>
      <c r="U23" t="s">
        <v>55</v>
      </c>
      <c r="V23" t="s">
        <v>56</v>
      </c>
      <c r="X23" t="s">
        <v>57</v>
      </c>
      <c r="Y23" t="s">
        <v>58</v>
      </c>
      <c r="Z23" s="2">
        <v>45627</v>
      </c>
      <c r="AA23" s="2">
        <v>45657</v>
      </c>
      <c r="AB23" t="s">
        <v>71</v>
      </c>
      <c r="AC23" t="s">
        <v>72</v>
      </c>
      <c r="AD23" t="s">
        <v>73</v>
      </c>
      <c r="AE23">
        <v>743.98335299999997</v>
      </c>
      <c r="AG23" t="s">
        <v>55</v>
      </c>
      <c r="AH23">
        <v>1</v>
      </c>
      <c r="AI23" s="2">
        <v>45627</v>
      </c>
      <c r="AJ23" t="s">
        <v>219</v>
      </c>
      <c r="AK23" t="s">
        <v>220</v>
      </c>
      <c r="AO23" t="s">
        <v>76</v>
      </c>
    </row>
    <row r="24" spans="1:41">
      <c r="A24" t="s">
        <v>43</v>
      </c>
      <c r="B24" t="s">
        <v>44</v>
      </c>
      <c r="C24" t="s">
        <v>45</v>
      </c>
      <c r="D24" t="s">
        <v>46</v>
      </c>
      <c r="E24" t="s">
        <v>47</v>
      </c>
      <c r="F24" t="s">
        <v>48</v>
      </c>
      <c r="G24">
        <v>3797082</v>
      </c>
      <c r="H24">
        <v>0</v>
      </c>
      <c r="I24" t="s">
        <v>65</v>
      </c>
      <c r="J24" s="2">
        <v>45661</v>
      </c>
      <c r="K24" t="s">
        <v>221</v>
      </c>
      <c r="L24" t="s">
        <v>222</v>
      </c>
      <c r="M24" t="s">
        <v>223</v>
      </c>
      <c r="N24" t="s">
        <v>224</v>
      </c>
      <c r="O24" t="s">
        <v>225</v>
      </c>
      <c r="P24" t="s">
        <v>54</v>
      </c>
      <c r="Q24" s="1">
        <v>6.08E-2</v>
      </c>
      <c r="R24" s="1">
        <v>45.231151449599999</v>
      </c>
      <c r="S24" s="5">
        <v>5.4112E-2</v>
      </c>
      <c r="T24" s="5">
        <v>40.255724790144001</v>
      </c>
      <c r="U24" t="s">
        <v>55</v>
      </c>
      <c r="V24" t="s">
        <v>56</v>
      </c>
      <c r="X24" t="s">
        <v>57</v>
      </c>
      <c r="Y24" t="s">
        <v>58</v>
      </c>
      <c r="Z24" s="2">
        <v>45627</v>
      </c>
      <c r="AA24" s="2">
        <v>45657</v>
      </c>
      <c r="AB24" t="s">
        <v>71</v>
      </c>
      <c r="AC24" t="s">
        <v>72</v>
      </c>
      <c r="AD24" t="s">
        <v>73</v>
      </c>
      <c r="AE24">
        <v>743.93341199999998</v>
      </c>
      <c r="AG24" t="s">
        <v>55</v>
      </c>
      <c r="AH24">
        <v>1</v>
      </c>
      <c r="AI24" s="2">
        <v>45627</v>
      </c>
      <c r="AJ24" t="s">
        <v>226</v>
      </c>
      <c r="AK24" t="s">
        <v>227</v>
      </c>
      <c r="AO24" t="s">
        <v>76</v>
      </c>
    </row>
    <row r="25" spans="1:41">
      <c r="A25" t="s">
        <v>43</v>
      </c>
      <c r="B25" t="s">
        <v>44</v>
      </c>
      <c r="C25" t="s">
        <v>45</v>
      </c>
      <c r="D25" t="s">
        <v>46</v>
      </c>
      <c r="E25" t="s">
        <v>47</v>
      </c>
      <c r="F25" t="s">
        <v>48</v>
      </c>
      <c r="G25">
        <v>3797082</v>
      </c>
      <c r="H25">
        <v>0</v>
      </c>
      <c r="I25" t="s">
        <v>149</v>
      </c>
      <c r="J25" s="2">
        <v>45661</v>
      </c>
      <c r="K25" t="s">
        <v>228</v>
      </c>
      <c r="L25" t="s">
        <v>229</v>
      </c>
      <c r="M25" t="s">
        <v>230</v>
      </c>
      <c r="N25" t="s">
        <v>231</v>
      </c>
      <c r="O25" t="s">
        <v>232</v>
      </c>
      <c r="P25" t="s">
        <v>54</v>
      </c>
      <c r="Q25" s="1">
        <v>2.0000000000000002E-5</v>
      </c>
      <c r="R25" s="1">
        <v>8.0000000000000007E-5</v>
      </c>
      <c r="S25" s="5">
        <v>1.7800000000000002E-5</v>
      </c>
      <c r="T25" s="5">
        <v>7.1200000000000009E-5</v>
      </c>
      <c r="U25" t="s">
        <v>55</v>
      </c>
      <c r="V25" t="s">
        <v>56</v>
      </c>
      <c r="X25" t="s">
        <v>57</v>
      </c>
      <c r="Y25" t="s">
        <v>58</v>
      </c>
      <c r="Z25" s="2">
        <v>45627</v>
      </c>
      <c r="AA25" s="2">
        <v>45657</v>
      </c>
      <c r="AB25" t="s">
        <v>233</v>
      </c>
      <c r="AC25">
        <v>1</v>
      </c>
      <c r="AD25" t="s">
        <v>156</v>
      </c>
      <c r="AE25">
        <v>4</v>
      </c>
      <c r="AG25" t="s">
        <v>55</v>
      </c>
      <c r="AH25">
        <v>1</v>
      </c>
      <c r="AI25" s="2">
        <v>45627</v>
      </c>
      <c r="AJ25" t="s">
        <v>234</v>
      </c>
      <c r="AK25" t="s">
        <v>235</v>
      </c>
      <c r="AO25" t="s">
        <v>159</v>
      </c>
    </row>
    <row r="26" spans="1:41">
      <c r="A26" t="s">
        <v>43</v>
      </c>
      <c r="B26" t="s">
        <v>44</v>
      </c>
      <c r="C26" t="s">
        <v>45</v>
      </c>
      <c r="D26" t="s">
        <v>46</v>
      </c>
      <c r="E26" t="s">
        <v>47</v>
      </c>
      <c r="F26" t="s">
        <v>48</v>
      </c>
      <c r="G26">
        <v>3797082</v>
      </c>
      <c r="H26">
        <v>0</v>
      </c>
      <c r="I26" t="s">
        <v>77</v>
      </c>
      <c r="J26" s="2">
        <v>45661</v>
      </c>
      <c r="K26" t="s">
        <v>132</v>
      </c>
      <c r="L26" t="s">
        <v>236</v>
      </c>
      <c r="M26" t="s">
        <v>237</v>
      </c>
      <c r="N26" t="s">
        <v>238</v>
      </c>
      <c r="O26" t="s">
        <v>136</v>
      </c>
      <c r="P26" t="s">
        <v>54</v>
      </c>
      <c r="Q26" s="1">
        <v>946.08</v>
      </c>
      <c r="R26" s="1">
        <v>946.01945088000014</v>
      </c>
      <c r="S26" s="5">
        <v>842.01120000000003</v>
      </c>
      <c r="T26" s="5">
        <v>841.95731128320006</v>
      </c>
      <c r="U26" t="s">
        <v>55</v>
      </c>
      <c r="V26" t="s">
        <v>56</v>
      </c>
      <c r="X26" t="s">
        <v>57</v>
      </c>
      <c r="Y26" t="s">
        <v>58</v>
      </c>
      <c r="Z26" s="2">
        <v>45627</v>
      </c>
      <c r="AA26" s="2">
        <v>45657</v>
      </c>
      <c r="AB26" t="s">
        <v>137</v>
      </c>
      <c r="AC26" t="s">
        <v>138</v>
      </c>
      <c r="AD26" t="s">
        <v>85</v>
      </c>
      <c r="AE26">
        <v>0.99993600000000005</v>
      </c>
      <c r="AG26" t="s">
        <v>55</v>
      </c>
      <c r="AH26">
        <v>1</v>
      </c>
      <c r="AI26" s="2">
        <v>45627</v>
      </c>
      <c r="AJ26" t="s">
        <v>239</v>
      </c>
      <c r="AK26" t="s">
        <v>240</v>
      </c>
      <c r="AO26" t="s">
        <v>88</v>
      </c>
    </row>
    <row r="27" spans="1:41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 t="s">
        <v>48</v>
      </c>
      <c r="G27">
        <v>3797082</v>
      </c>
      <c r="H27">
        <v>0</v>
      </c>
      <c r="I27" t="s">
        <v>121</v>
      </c>
      <c r="J27" s="2">
        <v>45661</v>
      </c>
      <c r="K27" t="s">
        <v>78</v>
      </c>
      <c r="L27" t="s">
        <v>241</v>
      </c>
      <c r="M27" t="s">
        <v>242</v>
      </c>
      <c r="N27" t="s">
        <v>243</v>
      </c>
      <c r="O27" t="s">
        <v>82</v>
      </c>
      <c r="P27" t="s">
        <v>54</v>
      </c>
      <c r="Q27" s="1">
        <v>0.13200000000000001</v>
      </c>
      <c r="R27" s="1">
        <v>15.805862292</v>
      </c>
      <c r="S27" s="5">
        <v>0.11748</v>
      </c>
      <c r="T27" s="5">
        <v>14.06721743988</v>
      </c>
      <c r="U27" t="s">
        <v>55</v>
      </c>
      <c r="V27" t="s">
        <v>56</v>
      </c>
      <c r="X27" t="s">
        <v>57</v>
      </c>
      <c r="Y27" t="s">
        <v>58</v>
      </c>
      <c r="Z27" s="2">
        <v>45627</v>
      </c>
      <c r="AA27" s="2">
        <v>45657</v>
      </c>
      <c r="AB27" t="s">
        <v>188</v>
      </c>
      <c r="AC27" t="s">
        <v>189</v>
      </c>
      <c r="AD27" t="s">
        <v>128</v>
      </c>
      <c r="AE27">
        <v>119.741381</v>
      </c>
      <c r="AG27" t="s">
        <v>55</v>
      </c>
      <c r="AH27">
        <v>1</v>
      </c>
      <c r="AI27" s="2">
        <v>45627</v>
      </c>
      <c r="AJ27" t="s">
        <v>244</v>
      </c>
      <c r="AK27" t="s">
        <v>245</v>
      </c>
      <c r="AO27" t="s">
        <v>131</v>
      </c>
    </row>
    <row r="28" spans="1:41">
      <c r="A28" t="s">
        <v>43</v>
      </c>
      <c r="B28" t="s">
        <v>44</v>
      </c>
      <c r="C28" t="s">
        <v>45</v>
      </c>
      <c r="D28" t="s">
        <v>46</v>
      </c>
      <c r="E28" t="s">
        <v>47</v>
      </c>
      <c r="F28" t="s">
        <v>48</v>
      </c>
      <c r="G28">
        <v>3797082</v>
      </c>
      <c r="H28">
        <v>0</v>
      </c>
      <c r="I28" t="s">
        <v>49</v>
      </c>
      <c r="J28" s="2">
        <v>45661</v>
      </c>
      <c r="K28" t="s">
        <v>122</v>
      </c>
      <c r="L28" t="s">
        <v>246</v>
      </c>
      <c r="M28" t="s">
        <v>247</v>
      </c>
      <c r="N28" t="s">
        <v>248</v>
      </c>
      <c r="O28" t="s">
        <v>126</v>
      </c>
      <c r="P28" t="s">
        <v>54</v>
      </c>
      <c r="Q28" s="1">
        <v>1.2500000000000001E-2</v>
      </c>
      <c r="R28" s="1">
        <v>0.62520833337500004</v>
      </c>
      <c r="S28" s="5">
        <v>1.1125000000000001E-2</v>
      </c>
      <c r="T28" s="5">
        <v>0.55643541670375007</v>
      </c>
      <c r="U28" t="s">
        <v>55</v>
      </c>
      <c r="V28" t="s">
        <v>56</v>
      </c>
      <c r="X28" t="s">
        <v>57</v>
      </c>
      <c r="Y28" t="s">
        <v>58</v>
      </c>
      <c r="Z28" s="2">
        <v>45627</v>
      </c>
      <c r="AA28" s="2">
        <v>45657</v>
      </c>
      <c r="AB28" t="s">
        <v>127</v>
      </c>
      <c r="AC28" t="s">
        <v>72</v>
      </c>
      <c r="AD28" t="s">
        <v>61</v>
      </c>
      <c r="AE28">
        <v>50.016666669999999</v>
      </c>
      <c r="AG28" t="s">
        <v>55</v>
      </c>
      <c r="AH28">
        <v>1</v>
      </c>
      <c r="AI28" s="2">
        <v>45627</v>
      </c>
      <c r="AJ28" t="s">
        <v>249</v>
      </c>
      <c r="AK28" t="s">
        <v>250</v>
      </c>
      <c r="AO28" t="s">
        <v>64</v>
      </c>
    </row>
    <row r="29" spans="1:41">
      <c r="A29" t="s">
        <v>43</v>
      </c>
      <c r="B29" t="s">
        <v>44</v>
      </c>
      <c r="C29" t="s">
        <v>45</v>
      </c>
      <c r="D29" t="s">
        <v>46</v>
      </c>
      <c r="E29" t="s">
        <v>47</v>
      </c>
      <c r="F29" t="s">
        <v>48</v>
      </c>
      <c r="G29">
        <v>3797082</v>
      </c>
      <c r="H29">
        <v>0</v>
      </c>
      <c r="I29" t="s">
        <v>77</v>
      </c>
      <c r="J29" s="2">
        <v>45661</v>
      </c>
      <c r="K29" t="s">
        <v>251</v>
      </c>
      <c r="L29">
        <v>10</v>
      </c>
      <c r="M29" t="s">
        <v>252</v>
      </c>
      <c r="N29" t="s">
        <v>253</v>
      </c>
      <c r="O29" t="s">
        <v>254</v>
      </c>
      <c r="P29" t="s">
        <v>54</v>
      </c>
      <c r="Q29" s="1">
        <v>15</v>
      </c>
      <c r="R29" s="1">
        <v>14.91935484</v>
      </c>
      <c r="S29" s="5">
        <v>13.35</v>
      </c>
      <c r="T29" s="5">
        <v>13.2782258076</v>
      </c>
      <c r="U29" t="s">
        <v>55</v>
      </c>
      <c r="V29" t="s">
        <v>56</v>
      </c>
      <c r="X29" t="s">
        <v>57</v>
      </c>
      <c r="Y29" t="s">
        <v>58</v>
      </c>
      <c r="Z29" s="2">
        <v>45627</v>
      </c>
      <c r="AA29" s="2">
        <v>45657</v>
      </c>
      <c r="AB29" t="s">
        <v>255</v>
      </c>
      <c r="AC29" t="s">
        <v>138</v>
      </c>
      <c r="AD29" t="s">
        <v>85</v>
      </c>
      <c r="AE29">
        <v>0.99462365600000002</v>
      </c>
      <c r="AG29" t="s">
        <v>55</v>
      </c>
      <c r="AH29">
        <v>1</v>
      </c>
      <c r="AI29" s="2">
        <v>45627</v>
      </c>
      <c r="AJ29" t="s">
        <v>256</v>
      </c>
      <c r="AK29" t="s">
        <v>257</v>
      </c>
      <c r="AO29" t="s">
        <v>88</v>
      </c>
    </row>
    <row r="30" spans="1:41">
      <c r="A30" t="s">
        <v>43</v>
      </c>
      <c r="B30" t="s">
        <v>44</v>
      </c>
      <c r="C30" t="s">
        <v>45</v>
      </c>
      <c r="D30" t="s">
        <v>46</v>
      </c>
      <c r="E30" t="s">
        <v>47</v>
      </c>
      <c r="F30" t="s">
        <v>48</v>
      </c>
      <c r="G30">
        <v>3797082</v>
      </c>
      <c r="H30">
        <v>0</v>
      </c>
      <c r="I30" t="s">
        <v>149</v>
      </c>
      <c r="J30" s="2">
        <v>45661</v>
      </c>
      <c r="K30" t="s">
        <v>258</v>
      </c>
      <c r="L30" t="s">
        <v>259</v>
      </c>
      <c r="M30" t="s">
        <v>260</v>
      </c>
      <c r="N30" t="s">
        <v>261</v>
      </c>
      <c r="O30" t="s">
        <v>262</v>
      </c>
      <c r="P30" t="s">
        <v>54</v>
      </c>
      <c r="Q30" s="1">
        <v>0.104</v>
      </c>
      <c r="R30" s="1">
        <v>309.50226871199999</v>
      </c>
      <c r="S30" s="5">
        <v>9.2560000000000003E-2</v>
      </c>
      <c r="T30" s="5">
        <v>275.45701915367999</v>
      </c>
      <c r="U30" t="s">
        <v>55</v>
      </c>
      <c r="V30" t="s">
        <v>56</v>
      </c>
      <c r="X30" t="s">
        <v>57</v>
      </c>
      <c r="Y30" t="s">
        <v>58</v>
      </c>
      <c r="Z30" s="2">
        <v>45627</v>
      </c>
      <c r="AA30" s="2">
        <v>45657</v>
      </c>
      <c r="AB30" t="s">
        <v>71</v>
      </c>
      <c r="AC30" t="s">
        <v>72</v>
      </c>
      <c r="AD30" t="s">
        <v>156</v>
      </c>
      <c r="AE30">
        <v>2975.9833530000001</v>
      </c>
      <c r="AG30" t="s">
        <v>55</v>
      </c>
      <c r="AH30">
        <v>1</v>
      </c>
      <c r="AI30" s="2">
        <v>45627</v>
      </c>
      <c r="AJ30" t="s">
        <v>263</v>
      </c>
      <c r="AK30" t="s">
        <v>264</v>
      </c>
      <c r="AO30" t="s">
        <v>159</v>
      </c>
    </row>
    <row r="31" spans="1:41">
      <c r="A31" t="s">
        <v>43</v>
      </c>
      <c r="B31" t="s">
        <v>44</v>
      </c>
      <c r="C31" t="s">
        <v>45</v>
      </c>
      <c r="D31" t="s">
        <v>46</v>
      </c>
      <c r="E31" t="s">
        <v>47</v>
      </c>
      <c r="F31" t="s">
        <v>48</v>
      </c>
      <c r="G31">
        <v>3797082</v>
      </c>
      <c r="H31">
        <v>0</v>
      </c>
      <c r="I31" t="s">
        <v>89</v>
      </c>
      <c r="J31" s="2">
        <v>45661</v>
      </c>
      <c r="K31" t="s">
        <v>90</v>
      </c>
      <c r="L31">
        <v>4</v>
      </c>
      <c r="M31" t="s">
        <v>265</v>
      </c>
      <c r="N31" t="s">
        <v>92</v>
      </c>
      <c r="O31" t="s">
        <v>92</v>
      </c>
      <c r="P31" t="s">
        <v>54</v>
      </c>
      <c r="Q31" s="1">
        <v>0.01</v>
      </c>
      <c r="R31" s="1">
        <v>17.081569890000001</v>
      </c>
      <c r="S31" s="5">
        <v>8.8999999999999999E-3</v>
      </c>
      <c r="T31" s="5">
        <v>15.2025972021</v>
      </c>
      <c r="U31" t="s">
        <v>55</v>
      </c>
      <c r="V31" t="s">
        <v>56</v>
      </c>
      <c r="X31" t="s">
        <v>57</v>
      </c>
      <c r="Y31" t="s">
        <v>58</v>
      </c>
      <c r="Z31" s="2">
        <v>45627</v>
      </c>
      <c r="AA31" s="2">
        <v>45657</v>
      </c>
      <c r="AB31" t="s">
        <v>266</v>
      </c>
      <c r="AC31" t="s">
        <v>60</v>
      </c>
      <c r="AD31" t="s">
        <v>94</v>
      </c>
      <c r="AE31">
        <v>1708.1569890000001</v>
      </c>
      <c r="AG31" t="s">
        <v>55</v>
      </c>
      <c r="AH31">
        <v>1</v>
      </c>
      <c r="AI31" s="2">
        <v>45627</v>
      </c>
      <c r="AJ31" t="s">
        <v>267</v>
      </c>
      <c r="AK31" t="s">
        <v>268</v>
      </c>
      <c r="AO31" t="s">
        <v>97</v>
      </c>
    </row>
    <row r="32" spans="1:41">
      <c r="A32" t="s">
        <v>43</v>
      </c>
      <c r="B32" t="s">
        <v>44</v>
      </c>
      <c r="C32" t="s">
        <v>45</v>
      </c>
      <c r="D32" t="s">
        <v>46</v>
      </c>
      <c r="E32" t="s">
        <v>47</v>
      </c>
      <c r="F32" t="s">
        <v>48</v>
      </c>
      <c r="G32">
        <v>3797082</v>
      </c>
      <c r="H32">
        <v>0</v>
      </c>
      <c r="I32" t="s">
        <v>172</v>
      </c>
      <c r="J32" s="2">
        <v>45661</v>
      </c>
      <c r="K32" t="s">
        <v>269</v>
      </c>
      <c r="L32" t="s">
        <v>270</v>
      </c>
      <c r="M32" t="s">
        <v>271</v>
      </c>
      <c r="N32" t="s">
        <v>272</v>
      </c>
      <c r="O32" t="s">
        <v>273</v>
      </c>
      <c r="P32" t="s">
        <v>54</v>
      </c>
      <c r="Q32" s="1">
        <v>3.6000000000000002E-4</v>
      </c>
      <c r="R32" s="1">
        <v>8.7836400000000008E-4</v>
      </c>
      <c r="S32" s="5">
        <v>3.2040000000000004E-4</v>
      </c>
      <c r="T32" s="5">
        <v>7.8174396000000018E-4</v>
      </c>
      <c r="U32" t="s">
        <v>55</v>
      </c>
      <c r="V32" t="s">
        <v>56</v>
      </c>
      <c r="X32" t="s">
        <v>57</v>
      </c>
      <c r="Y32" t="s">
        <v>58</v>
      </c>
      <c r="Z32" s="2">
        <v>45627</v>
      </c>
      <c r="AA32" s="2">
        <v>45657</v>
      </c>
      <c r="AB32" t="s">
        <v>274</v>
      </c>
      <c r="AC32" t="s">
        <v>84</v>
      </c>
      <c r="AD32" t="s">
        <v>176</v>
      </c>
      <c r="AE32">
        <v>2.4399000000000002</v>
      </c>
      <c r="AG32" t="s">
        <v>55</v>
      </c>
      <c r="AH32">
        <v>1</v>
      </c>
      <c r="AI32" s="2">
        <v>45627</v>
      </c>
      <c r="AJ32" t="s">
        <v>275</v>
      </c>
      <c r="AK32" t="s">
        <v>276</v>
      </c>
      <c r="AO32" t="s">
        <v>179</v>
      </c>
    </row>
    <row r="33" spans="1:41">
      <c r="A33" t="s">
        <v>43</v>
      </c>
      <c r="B33" t="s">
        <v>44</v>
      </c>
      <c r="C33" t="s">
        <v>45</v>
      </c>
      <c r="D33" t="s">
        <v>46</v>
      </c>
      <c r="E33" t="s">
        <v>47</v>
      </c>
      <c r="F33" t="s">
        <v>48</v>
      </c>
      <c r="G33">
        <v>3797082</v>
      </c>
      <c r="H33">
        <v>0</v>
      </c>
      <c r="I33" t="s">
        <v>149</v>
      </c>
      <c r="J33" s="2">
        <v>45661</v>
      </c>
      <c r="K33" t="s">
        <v>202</v>
      </c>
      <c r="L33" t="s">
        <v>203</v>
      </c>
      <c r="M33" t="s">
        <v>277</v>
      </c>
      <c r="N33" t="s">
        <v>205</v>
      </c>
      <c r="O33" t="s">
        <v>206</v>
      </c>
      <c r="P33" t="s">
        <v>54</v>
      </c>
      <c r="Q33" s="1">
        <v>3.6000000000000002E-4</v>
      </c>
      <c r="R33" s="1">
        <v>1.1385000000000001E-2</v>
      </c>
      <c r="S33" s="5">
        <v>3.2040000000000004E-4</v>
      </c>
      <c r="T33" s="5">
        <v>1.0132650000000002E-2</v>
      </c>
      <c r="U33" t="s">
        <v>55</v>
      </c>
      <c r="V33" t="s">
        <v>56</v>
      </c>
      <c r="X33" t="s">
        <v>57</v>
      </c>
      <c r="Y33" t="s">
        <v>58</v>
      </c>
      <c r="Z33" s="2">
        <v>45627</v>
      </c>
      <c r="AA33" s="2">
        <v>45657</v>
      </c>
      <c r="AB33" t="s">
        <v>278</v>
      </c>
      <c r="AC33" t="s">
        <v>84</v>
      </c>
      <c r="AD33" t="s">
        <v>156</v>
      </c>
      <c r="AE33">
        <v>31.625</v>
      </c>
      <c r="AG33" t="s">
        <v>55</v>
      </c>
      <c r="AH33">
        <v>1</v>
      </c>
      <c r="AI33" s="2">
        <v>45627</v>
      </c>
      <c r="AJ33" t="s">
        <v>279</v>
      </c>
      <c r="AK33" t="s">
        <v>280</v>
      </c>
      <c r="AO33" t="s">
        <v>159</v>
      </c>
    </row>
    <row r="34" spans="1:41">
      <c r="A34" t="s">
        <v>43</v>
      </c>
      <c r="B34" t="s">
        <v>44</v>
      </c>
      <c r="C34" t="s">
        <v>45</v>
      </c>
      <c r="D34" t="s">
        <v>46</v>
      </c>
      <c r="E34" t="s">
        <v>47</v>
      </c>
      <c r="F34" t="s">
        <v>48</v>
      </c>
      <c r="G34">
        <v>3797082</v>
      </c>
      <c r="H34">
        <v>0</v>
      </c>
      <c r="I34" t="s">
        <v>89</v>
      </c>
      <c r="J34" s="2">
        <v>45661</v>
      </c>
      <c r="K34" t="s">
        <v>192</v>
      </c>
      <c r="L34">
        <v>6</v>
      </c>
      <c r="M34" t="s">
        <v>193</v>
      </c>
      <c r="N34" t="s">
        <v>194</v>
      </c>
      <c r="O34" t="s">
        <v>195</v>
      </c>
      <c r="P34" t="s">
        <v>54</v>
      </c>
      <c r="Q34" s="1">
        <v>0.11</v>
      </c>
      <c r="R34" s="1">
        <v>11</v>
      </c>
      <c r="S34" s="5">
        <v>9.7900000000000001E-2</v>
      </c>
      <c r="T34" s="5">
        <v>9.7900000000000009</v>
      </c>
      <c r="U34" t="s">
        <v>55</v>
      </c>
      <c r="V34" t="s">
        <v>56</v>
      </c>
      <c r="X34" t="s">
        <v>57</v>
      </c>
      <c r="Y34" t="s">
        <v>58</v>
      </c>
      <c r="Z34" s="2">
        <v>45627</v>
      </c>
      <c r="AA34" s="2">
        <v>45657</v>
      </c>
      <c r="AB34" t="s">
        <v>110</v>
      </c>
      <c r="AC34" t="s">
        <v>60</v>
      </c>
      <c r="AD34" t="s">
        <v>94</v>
      </c>
      <c r="AE34">
        <v>100</v>
      </c>
      <c r="AG34" t="s">
        <v>55</v>
      </c>
      <c r="AH34">
        <v>1</v>
      </c>
      <c r="AI34" s="2">
        <v>45627</v>
      </c>
      <c r="AJ34" t="s">
        <v>196</v>
      </c>
      <c r="AK34" t="s">
        <v>281</v>
      </c>
      <c r="AO34" t="s">
        <v>97</v>
      </c>
    </row>
    <row r="35" spans="1:41">
      <c r="A35" t="s">
        <v>43</v>
      </c>
      <c r="B35" t="s">
        <v>44</v>
      </c>
      <c r="C35" t="s">
        <v>45</v>
      </c>
      <c r="D35" t="s">
        <v>46</v>
      </c>
      <c r="E35" t="s">
        <v>47</v>
      </c>
      <c r="F35" t="s">
        <v>48</v>
      </c>
      <c r="G35">
        <v>3797082</v>
      </c>
      <c r="H35">
        <v>0</v>
      </c>
      <c r="I35" t="s">
        <v>77</v>
      </c>
      <c r="J35" s="2">
        <v>45661</v>
      </c>
      <c r="K35" t="s">
        <v>282</v>
      </c>
      <c r="L35">
        <v>8</v>
      </c>
      <c r="M35" t="s">
        <v>283</v>
      </c>
      <c r="N35" t="s">
        <v>284</v>
      </c>
      <c r="O35" t="s">
        <v>285</v>
      </c>
      <c r="P35" t="s">
        <v>54</v>
      </c>
      <c r="Q35" s="1">
        <v>0.46800000000000003</v>
      </c>
      <c r="R35" s="1">
        <v>348.19200000000001</v>
      </c>
      <c r="S35" s="5">
        <v>0.41652000000000006</v>
      </c>
      <c r="T35" s="5">
        <v>309.89088000000004</v>
      </c>
      <c r="U35" t="s">
        <v>55</v>
      </c>
      <c r="V35" t="s">
        <v>56</v>
      </c>
      <c r="X35" t="s">
        <v>57</v>
      </c>
      <c r="Y35" t="s">
        <v>58</v>
      </c>
      <c r="Z35" s="2">
        <v>45627</v>
      </c>
      <c r="AA35" s="2">
        <v>45657</v>
      </c>
      <c r="AB35" t="s">
        <v>286</v>
      </c>
      <c r="AC35" t="s">
        <v>287</v>
      </c>
      <c r="AD35" t="s">
        <v>85</v>
      </c>
      <c r="AE35">
        <v>744</v>
      </c>
      <c r="AG35" t="s">
        <v>55</v>
      </c>
      <c r="AH35">
        <v>1</v>
      </c>
      <c r="AI35" s="2">
        <v>45627</v>
      </c>
      <c r="AJ35" t="s">
        <v>288</v>
      </c>
      <c r="AK35" t="s">
        <v>289</v>
      </c>
      <c r="AO35" t="s">
        <v>88</v>
      </c>
    </row>
    <row r="36" spans="1:41">
      <c r="A36" t="s">
        <v>43</v>
      </c>
      <c r="B36" t="s">
        <v>44</v>
      </c>
      <c r="C36" t="s">
        <v>45</v>
      </c>
      <c r="D36" t="s">
        <v>46</v>
      </c>
      <c r="E36" t="s">
        <v>47</v>
      </c>
      <c r="F36" t="s">
        <v>48</v>
      </c>
      <c r="G36">
        <v>3797082</v>
      </c>
      <c r="H36">
        <v>0</v>
      </c>
      <c r="I36" t="s">
        <v>65</v>
      </c>
      <c r="J36" s="2">
        <v>45661</v>
      </c>
      <c r="K36" t="s">
        <v>290</v>
      </c>
      <c r="L36" t="s">
        <v>203</v>
      </c>
      <c r="M36" t="s">
        <v>291</v>
      </c>
      <c r="N36" t="s">
        <v>292</v>
      </c>
      <c r="O36" t="s">
        <v>293</v>
      </c>
      <c r="P36" t="s">
        <v>54</v>
      </c>
      <c r="Q36" s="1">
        <v>4.4999999999999998E-2</v>
      </c>
      <c r="R36" s="1">
        <v>13.243080959999999</v>
      </c>
      <c r="S36" s="5">
        <v>4.0050000000000002E-2</v>
      </c>
      <c r="T36" s="5">
        <v>11.7863420544</v>
      </c>
      <c r="U36" t="s">
        <v>55</v>
      </c>
      <c r="V36" t="s">
        <v>56</v>
      </c>
      <c r="X36" t="s">
        <v>57</v>
      </c>
      <c r="Y36" t="s">
        <v>58</v>
      </c>
      <c r="Z36" s="2">
        <v>45627</v>
      </c>
      <c r="AA36" s="2">
        <v>45657</v>
      </c>
      <c r="AB36" t="s">
        <v>207</v>
      </c>
      <c r="AC36" t="s">
        <v>189</v>
      </c>
      <c r="AD36" t="s">
        <v>73</v>
      </c>
      <c r="AE36">
        <v>294.29068799999999</v>
      </c>
      <c r="AG36" t="s">
        <v>55</v>
      </c>
      <c r="AH36">
        <v>1</v>
      </c>
      <c r="AI36" s="2">
        <v>45627</v>
      </c>
      <c r="AJ36" t="s">
        <v>294</v>
      </c>
      <c r="AK36" t="s">
        <v>295</v>
      </c>
      <c r="AO36" t="s">
        <v>76</v>
      </c>
    </row>
    <row r="37" spans="1:41">
      <c r="A37" t="s">
        <v>43</v>
      </c>
      <c r="B37" t="s">
        <v>44</v>
      </c>
      <c r="C37" t="s">
        <v>45</v>
      </c>
      <c r="D37" t="s">
        <v>46</v>
      </c>
      <c r="E37" t="s">
        <v>47</v>
      </c>
      <c r="F37" t="s">
        <v>48</v>
      </c>
      <c r="G37">
        <v>3797082</v>
      </c>
      <c r="H37">
        <v>0</v>
      </c>
      <c r="I37" t="s">
        <v>49</v>
      </c>
      <c r="J37" s="2">
        <v>45661</v>
      </c>
      <c r="K37" t="s">
        <v>296</v>
      </c>
      <c r="L37" t="s">
        <v>297</v>
      </c>
      <c r="M37" t="s">
        <v>298</v>
      </c>
      <c r="N37" t="s">
        <v>299</v>
      </c>
      <c r="O37" t="s">
        <v>300</v>
      </c>
      <c r="P37" t="s">
        <v>54</v>
      </c>
      <c r="Q37" s="1">
        <v>3.6000000000000002E-4</v>
      </c>
      <c r="R37" s="1">
        <v>1.8000000000000002E-7</v>
      </c>
      <c r="S37" s="5">
        <v>3.2040000000000004E-4</v>
      </c>
      <c r="T37" s="5">
        <v>1.6020000000000002E-7</v>
      </c>
      <c r="U37" t="s">
        <v>55</v>
      </c>
      <c r="V37" t="s">
        <v>56</v>
      </c>
      <c r="X37" t="s">
        <v>57</v>
      </c>
      <c r="Y37" t="s">
        <v>58</v>
      </c>
      <c r="Z37" s="2">
        <v>45627</v>
      </c>
      <c r="AA37" s="2">
        <v>45657</v>
      </c>
      <c r="AB37" t="s">
        <v>301</v>
      </c>
      <c r="AC37" t="s">
        <v>84</v>
      </c>
      <c r="AD37" t="s">
        <v>61</v>
      </c>
      <c r="AE37">
        <v>5.0000000000000001E-4</v>
      </c>
      <c r="AG37" t="s">
        <v>55</v>
      </c>
      <c r="AH37">
        <v>1</v>
      </c>
      <c r="AI37" s="2">
        <v>45627</v>
      </c>
      <c r="AJ37" t="s">
        <v>302</v>
      </c>
      <c r="AK37" t="s">
        <v>303</v>
      </c>
      <c r="AO37" t="s">
        <v>64</v>
      </c>
    </row>
    <row r="38" spans="1:41">
      <c r="A38" t="s">
        <v>43</v>
      </c>
      <c r="B38" t="s">
        <v>44</v>
      </c>
      <c r="C38" t="s">
        <v>45</v>
      </c>
      <c r="D38" t="s">
        <v>46</v>
      </c>
      <c r="E38" t="s">
        <v>47</v>
      </c>
      <c r="F38" t="s">
        <v>48</v>
      </c>
      <c r="G38">
        <v>3797082</v>
      </c>
      <c r="H38">
        <v>0</v>
      </c>
      <c r="I38" t="s">
        <v>121</v>
      </c>
      <c r="J38" s="2">
        <v>45661</v>
      </c>
      <c r="K38" t="s">
        <v>105</v>
      </c>
      <c r="L38" t="s">
        <v>106</v>
      </c>
      <c r="M38" t="s">
        <v>304</v>
      </c>
      <c r="N38" t="s">
        <v>108</v>
      </c>
      <c r="O38" t="s">
        <v>109</v>
      </c>
      <c r="P38" t="s">
        <v>54</v>
      </c>
      <c r="Q38" s="1">
        <v>0</v>
      </c>
      <c r="R38" s="1">
        <v>0</v>
      </c>
      <c r="S38" s="5">
        <v>0</v>
      </c>
      <c r="T38" s="5">
        <v>0</v>
      </c>
      <c r="U38" t="s">
        <v>55</v>
      </c>
      <c r="V38" t="s">
        <v>56</v>
      </c>
      <c r="X38" t="s">
        <v>57</v>
      </c>
      <c r="Y38" t="s">
        <v>58</v>
      </c>
      <c r="Z38" s="2">
        <v>45627</v>
      </c>
      <c r="AA38" s="2">
        <v>45657</v>
      </c>
      <c r="AB38" t="s">
        <v>305</v>
      </c>
      <c r="AC38" t="s">
        <v>60</v>
      </c>
      <c r="AD38" t="s">
        <v>128</v>
      </c>
      <c r="AE38">
        <v>466.14985840000003</v>
      </c>
      <c r="AG38" t="s">
        <v>55</v>
      </c>
      <c r="AH38">
        <v>1</v>
      </c>
      <c r="AI38" s="2">
        <v>45627</v>
      </c>
      <c r="AJ38" t="s">
        <v>306</v>
      </c>
      <c r="AK38" t="s">
        <v>307</v>
      </c>
      <c r="AO38" t="s">
        <v>131</v>
      </c>
    </row>
    <row r="39" spans="1:41">
      <c r="A39" t="s">
        <v>43</v>
      </c>
      <c r="B39" t="s">
        <v>44</v>
      </c>
      <c r="C39" t="s">
        <v>45</v>
      </c>
      <c r="D39" t="s">
        <v>46</v>
      </c>
      <c r="E39" t="s">
        <v>47</v>
      </c>
      <c r="F39" t="s">
        <v>48</v>
      </c>
      <c r="G39">
        <v>3797082</v>
      </c>
      <c r="H39">
        <v>0</v>
      </c>
      <c r="I39" t="s">
        <v>49</v>
      </c>
      <c r="J39" s="2">
        <v>45661</v>
      </c>
      <c r="K39" t="s">
        <v>113</v>
      </c>
      <c r="L39" t="s">
        <v>114</v>
      </c>
      <c r="M39" t="s">
        <v>115</v>
      </c>
      <c r="N39" t="s">
        <v>116</v>
      </c>
      <c r="O39" t="s">
        <v>117</v>
      </c>
      <c r="P39" t="s">
        <v>54</v>
      </c>
      <c r="Q39" s="1">
        <v>2.99</v>
      </c>
      <c r="R39" s="1">
        <v>162.52045863559999</v>
      </c>
      <c r="S39" s="5">
        <v>2.6611000000000002</v>
      </c>
      <c r="T39" s="5">
        <v>144.64320818568402</v>
      </c>
      <c r="U39" t="s">
        <v>55</v>
      </c>
      <c r="V39" t="s">
        <v>56</v>
      </c>
      <c r="X39" t="s">
        <v>57</v>
      </c>
      <c r="Y39" t="s">
        <v>58</v>
      </c>
      <c r="Z39" s="2">
        <v>45627</v>
      </c>
      <c r="AA39" s="2">
        <v>45657</v>
      </c>
      <c r="AB39" t="s">
        <v>118</v>
      </c>
      <c r="AC39" t="s">
        <v>60</v>
      </c>
      <c r="AD39" t="s">
        <v>61</v>
      </c>
      <c r="AE39">
        <v>54.354668439999998</v>
      </c>
      <c r="AG39" t="s">
        <v>55</v>
      </c>
      <c r="AH39">
        <v>1</v>
      </c>
      <c r="AI39" s="2">
        <v>45627</v>
      </c>
      <c r="AJ39" t="s">
        <v>119</v>
      </c>
      <c r="AK39" t="s">
        <v>308</v>
      </c>
      <c r="AO39" t="s">
        <v>64</v>
      </c>
    </row>
    <row r="40" spans="1:41">
      <c r="A40" t="s">
        <v>43</v>
      </c>
      <c r="B40" t="s">
        <v>44</v>
      </c>
      <c r="C40" t="s">
        <v>45</v>
      </c>
      <c r="D40" t="s">
        <v>46</v>
      </c>
      <c r="E40" t="s">
        <v>47</v>
      </c>
      <c r="F40" t="s">
        <v>48</v>
      </c>
      <c r="G40">
        <v>3797082</v>
      </c>
      <c r="H40">
        <v>0</v>
      </c>
      <c r="I40" t="s">
        <v>172</v>
      </c>
      <c r="J40" s="2">
        <v>45661</v>
      </c>
      <c r="K40" t="s">
        <v>309</v>
      </c>
      <c r="L40">
        <v>62</v>
      </c>
      <c r="M40" t="s">
        <v>310</v>
      </c>
      <c r="N40" t="s">
        <v>311</v>
      </c>
      <c r="O40" t="s">
        <v>312</v>
      </c>
      <c r="P40" t="s">
        <v>54</v>
      </c>
      <c r="Q40" s="1">
        <v>4.48E-2</v>
      </c>
      <c r="R40" s="1">
        <v>642.71655884799998</v>
      </c>
      <c r="S40" s="5">
        <v>3.9871999999999998E-2</v>
      </c>
      <c r="T40" s="5">
        <v>572.0177373747199</v>
      </c>
      <c r="U40" t="s">
        <v>55</v>
      </c>
      <c r="V40" t="s">
        <v>56</v>
      </c>
      <c r="X40" t="s">
        <v>57</v>
      </c>
      <c r="Y40" t="s">
        <v>58</v>
      </c>
      <c r="Z40" s="2">
        <v>45627</v>
      </c>
      <c r="AA40" s="2">
        <v>45657</v>
      </c>
      <c r="AB40" t="s">
        <v>313</v>
      </c>
      <c r="AC40" t="s">
        <v>189</v>
      </c>
      <c r="AD40" t="s">
        <v>176</v>
      </c>
      <c r="AE40">
        <v>14346.35176</v>
      </c>
      <c r="AG40" t="s">
        <v>55</v>
      </c>
      <c r="AH40">
        <v>1</v>
      </c>
      <c r="AI40" s="2">
        <v>45627</v>
      </c>
      <c r="AJ40" t="s">
        <v>314</v>
      </c>
      <c r="AK40" t="s">
        <v>315</v>
      </c>
      <c r="AO40" t="s">
        <v>179</v>
      </c>
    </row>
    <row r="41" spans="1:41">
      <c r="A41" t="s">
        <v>43</v>
      </c>
      <c r="B41" t="s">
        <v>44</v>
      </c>
      <c r="C41" t="s">
        <v>45</v>
      </c>
      <c r="D41" t="s">
        <v>46</v>
      </c>
      <c r="E41" t="s">
        <v>47</v>
      </c>
      <c r="F41" t="s">
        <v>48</v>
      </c>
      <c r="G41">
        <v>3797082</v>
      </c>
      <c r="H41">
        <v>0</v>
      </c>
      <c r="I41" t="s">
        <v>65</v>
      </c>
      <c r="J41" s="2">
        <v>45661</v>
      </c>
      <c r="K41" t="s">
        <v>316</v>
      </c>
      <c r="L41">
        <v>1</v>
      </c>
      <c r="M41" t="s">
        <v>317</v>
      </c>
      <c r="N41" t="s">
        <v>318</v>
      </c>
      <c r="O41" t="s">
        <v>319</v>
      </c>
      <c r="P41" t="s">
        <v>54</v>
      </c>
      <c r="Q41" s="1">
        <v>0.02</v>
      </c>
      <c r="R41" s="1">
        <v>13.065010000000001</v>
      </c>
      <c r="S41" s="5">
        <v>1.78E-2</v>
      </c>
      <c r="T41" s="5">
        <v>11.6278589</v>
      </c>
      <c r="U41" t="s">
        <v>55</v>
      </c>
      <c r="V41" t="s">
        <v>56</v>
      </c>
      <c r="X41" t="s">
        <v>57</v>
      </c>
      <c r="Y41" t="s">
        <v>58</v>
      </c>
      <c r="Z41" s="2">
        <v>45627</v>
      </c>
      <c r="AA41" s="2">
        <v>45657</v>
      </c>
      <c r="AB41" t="s">
        <v>320</v>
      </c>
      <c r="AC41" t="s">
        <v>84</v>
      </c>
      <c r="AD41" t="s">
        <v>73</v>
      </c>
      <c r="AE41">
        <v>653.25049999999999</v>
      </c>
      <c r="AG41" t="s">
        <v>55</v>
      </c>
      <c r="AH41">
        <v>1</v>
      </c>
      <c r="AI41" s="2">
        <v>45627</v>
      </c>
      <c r="AJ41" t="s">
        <v>321</v>
      </c>
      <c r="AK41" t="s">
        <v>322</v>
      </c>
      <c r="AO41" t="s">
        <v>76</v>
      </c>
    </row>
    <row r="42" spans="1:41">
      <c r="A42" t="s">
        <v>43</v>
      </c>
      <c r="B42" t="s">
        <v>44</v>
      </c>
      <c r="C42" t="s">
        <v>45</v>
      </c>
      <c r="D42" t="s">
        <v>46</v>
      </c>
      <c r="E42" t="s">
        <v>47</v>
      </c>
      <c r="F42" t="s">
        <v>48</v>
      </c>
      <c r="G42">
        <v>3797082</v>
      </c>
      <c r="H42">
        <v>0</v>
      </c>
      <c r="I42" t="s">
        <v>149</v>
      </c>
      <c r="J42" s="2">
        <v>45661</v>
      </c>
      <c r="K42" t="s">
        <v>202</v>
      </c>
      <c r="L42" t="s">
        <v>203</v>
      </c>
      <c r="M42" t="s">
        <v>323</v>
      </c>
      <c r="N42" t="s">
        <v>205</v>
      </c>
      <c r="O42" t="s">
        <v>206</v>
      </c>
      <c r="P42" t="s">
        <v>54</v>
      </c>
      <c r="Q42" s="1">
        <v>3.6000000000000002E-4</v>
      </c>
      <c r="R42" s="1">
        <v>2.3050548000000004E-2</v>
      </c>
      <c r="S42" s="5">
        <v>3.2040000000000004E-4</v>
      </c>
      <c r="T42" s="5">
        <v>2.0514987720000006E-2</v>
      </c>
      <c r="U42" t="s">
        <v>55</v>
      </c>
      <c r="V42" t="s">
        <v>56</v>
      </c>
      <c r="X42" t="s">
        <v>57</v>
      </c>
      <c r="Y42" t="s">
        <v>58</v>
      </c>
      <c r="Z42" s="2">
        <v>45627</v>
      </c>
      <c r="AA42" s="2">
        <v>45657</v>
      </c>
      <c r="AB42" t="s">
        <v>324</v>
      </c>
      <c r="AC42" t="s">
        <v>84</v>
      </c>
      <c r="AD42" t="s">
        <v>156</v>
      </c>
      <c r="AE42">
        <v>64.029300000000006</v>
      </c>
      <c r="AG42" t="s">
        <v>55</v>
      </c>
      <c r="AH42">
        <v>1</v>
      </c>
      <c r="AI42" s="2">
        <v>45627</v>
      </c>
      <c r="AJ42" t="s">
        <v>325</v>
      </c>
      <c r="AK42" t="s">
        <v>326</v>
      </c>
      <c r="AO42" t="s">
        <v>159</v>
      </c>
    </row>
    <row r="43" spans="1:41">
      <c r="A43" t="s">
        <v>43</v>
      </c>
      <c r="B43" t="s">
        <v>44</v>
      </c>
      <c r="C43" t="s">
        <v>45</v>
      </c>
      <c r="D43" t="s">
        <v>46</v>
      </c>
      <c r="E43" t="s">
        <v>47</v>
      </c>
      <c r="F43" t="s">
        <v>48</v>
      </c>
      <c r="G43">
        <v>3797082</v>
      </c>
      <c r="H43">
        <v>0</v>
      </c>
      <c r="I43" t="s">
        <v>121</v>
      </c>
      <c r="J43" s="2">
        <v>45661</v>
      </c>
      <c r="K43" t="s">
        <v>122</v>
      </c>
      <c r="L43">
        <v>84</v>
      </c>
      <c r="M43" t="s">
        <v>327</v>
      </c>
      <c r="N43" t="s">
        <v>328</v>
      </c>
      <c r="O43" t="s">
        <v>126</v>
      </c>
      <c r="P43" t="s">
        <v>54</v>
      </c>
      <c r="Q43" s="1">
        <v>0.05</v>
      </c>
      <c r="R43" s="1">
        <v>1227.6000000000001</v>
      </c>
      <c r="S43" s="5">
        <v>4.4500000000000005E-2</v>
      </c>
      <c r="T43" s="5">
        <v>1092.5640000000001</v>
      </c>
      <c r="U43" t="s">
        <v>55</v>
      </c>
      <c r="V43" t="s">
        <v>56</v>
      </c>
      <c r="X43" t="s">
        <v>57</v>
      </c>
      <c r="Y43" t="s">
        <v>58</v>
      </c>
      <c r="Z43" s="2">
        <v>45627</v>
      </c>
      <c r="AA43" s="2">
        <v>45657</v>
      </c>
      <c r="AB43" t="s">
        <v>127</v>
      </c>
      <c r="AC43" t="s">
        <v>72</v>
      </c>
      <c r="AD43" t="s">
        <v>128</v>
      </c>
      <c r="AE43">
        <v>24552</v>
      </c>
      <c r="AG43" t="s">
        <v>55</v>
      </c>
      <c r="AH43">
        <v>1</v>
      </c>
      <c r="AI43" s="2">
        <v>45627</v>
      </c>
      <c r="AJ43" t="s">
        <v>329</v>
      </c>
      <c r="AK43" t="s">
        <v>330</v>
      </c>
      <c r="AO43" t="s">
        <v>131</v>
      </c>
    </row>
    <row r="44" spans="1:41">
      <c r="A44" t="s">
        <v>43</v>
      </c>
      <c r="B44" t="s">
        <v>44</v>
      </c>
      <c r="C44" t="s">
        <v>45</v>
      </c>
      <c r="D44" t="s">
        <v>46</v>
      </c>
      <c r="E44" t="s">
        <v>47</v>
      </c>
      <c r="F44" t="s">
        <v>48</v>
      </c>
      <c r="G44">
        <v>3797082</v>
      </c>
      <c r="H44">
        <v>0</v>
      </c>
      <c r="I44" t="s">
        <v>89</v>
      </c>
      <c r="J44" s="2">
        <v>45661</v>
      </c>
      <c r="K44" t="s">
        <v>331</v>
      </c>
      <c r="L44" t="s">
        <v>332</v>
      </c>
      <c r="M44" t="s">
        <v>333</v>
      </c>
      <c r="N44" t="s">
        <v>334</v>
      </c>
      <c r="O44" t="s">
        <v>335</v>
      </c>
      <c r="P44" t="s">
        <v>54</v>
      </c>
      <c r="Q44" s="1">
        <v>0.05</v>
      </c>
      <c r="R44" s="1">
        <v>4.4440416000000003</v>
      </c>
      <c r="S44" s="5">
        <v>4.4500000000000005E-2</v>
      </c>
      <c r="T44" s="5">
        <v>3.9551970240000003</v>
      </c>
      <c r="U44" t="s">
        <v>55</v>
      </c>
      <c r="V44" t="s">
        <v>56</v>
      </c>
      <c r="X44" t="s">
        <v>57</v>
      </c>
      <c r="Y44" t="s">
        <v>58</v>
      </c>
      <c r="Z44" s="2">
        <v>45627</v>
      </c>
      <c r="AA44" s="2">
        <v>45657</v>
      </c>
      <c r="AB44" t="s">
        <v>188</v>
      </c>
      <c r="AC44" t="s">
        <v>189</v>
      </c>
      <c r="AD44" t="s">
        <v>94</v>
      </c>
      <c r="AE44">
        <v>88.880831999999998</v>
      </c>
      <c r="AG44" t="s">
        <v>55</v>
      </c>
      <c r="AH44">
        <v>1</v>
      </c>
      <c r="AI44" s="2">
        <v>45627</v>
      </c>
      <c r="AJ44" t="s">
        <v>336</v>
      </c>
      <c r="AK44" t="s">
        <v>337</v>
      </c>
      <c r="AO44" t="s">
        <v>97</v>
      </c>
    </row>
    <row r="45" spans="1:41">
      <c r="A45" t="s">
        <v>43</v>
      </c>
      <c r="B45" t="s">
        <v>44</v>
      </c>
      <c r="C45" t="s">
        <v>45</v>
      </c>
      <c r="D45" t="s">
        <v>46</v>
      </c>
      <c r="E45" t="s">
        <v>47</v>
      </c>
      <c r="F45" t="s">
        <v>48</v>
      </c>
      <c r="G45">
        <v>3797082</v>
      </c>
      <c r="H45">
        <v>0</v>
      </c>
      <c r="I45" t="s">
        <v>121</v>
      </c>
      <c r="J45" s="2">
        <v>45661</v>
      </c>
      <c r="K45" t="s">
        <v>78</v>
      </c>
      <c r="L45" t="s">
        <v>338</v>
      </c>
      <c r="M45" t="s">
        <v>339</v>
      </c>
      <c r="N45" t="s">
        <v>340</v>
      </c>
      <c r="O45" t="s">
        <v>82</v>
      </c>
      <c r="P45" t="s">
        <v>54</v>
      </c>
      <c r="Q45" s="1">
        <v>2.4</v>
      </c>
      <c r="R45" s="1">
        <v>9.5993855999999997</v>
      </c>
      <c r="S45" s="5">
        <v>2.1360000000000001</v>
      </c>
      <c r="T45" s="5">
        <v>8.5434531840000005</v>
      </c>
      <c r="U45" t="s">
        <v>55</v>
      </c>
      <c r="V45" t="s">
        <v>56</v>
      </c>
      <c r="X45" t="s">
        <v>57</v>
      </c>
      <c r="Y45" t="s">
        <v>58</v>
      </c>
      <c r="Z45" s="2">
        <v>45627</v>
      </c>
      <c r="AA45" s="2">
        <v>45657</v>
      </c>
      <c r="AB45" t="s">
        <v>137</v>
      </c>
      <c r="AC45" t="s">
        <v>138</v>
      </c>
      <c r="AD45" t="s">
        <v>128</v>
      </c>
      <c r="AE45">
        <v>3.9997440000000002</v>
      </c>
      <c r="AG45" t="s">
        <v>55</v>
      </c>
      <c r="AH45">
        <v>1</v>
      </c>
      <c r="AI45" s="2">
        <v>45627</v>
      </c>
      <c r="AJ45" t="s">
        <v>341</v>
      </c>
      <c r="AK45" t="s">
        <v>342</v>
      </c>
      <c r="AO45" t="s">
        <v>131</v>
      </c>
    </row>
    <row r="46" spans="1:41">
      <c r="A46" t="s">
        <v>43</v>
      </c>
      <c r="B46" t="s">
        <v>44</v>
      </c>
      <c r="C46" t="s">
        <v>45</v>
      </c>
      <c r="D46" t="s">
        <v>46</v>
      </c>
      <c r="E46" t="s">
        <v>47</v>
      </c>
      <c r="F46" t="s">
        <v>48</v>
      </c>
      <c r="G46">
        <v>3797082</v>
      </c>
      <c r="H46">
        <v>0</v>
      </c>
      <c r="I46" t="s">
        <v>149</v>
      </c>
      <c r="J46" s="2">
        <v>45661</v>
      </c>
      <c r="K46" t="s">
        <v>343</v>
      </c>
      <c r="L46" t="s">
        <v>344</v>
      </c>
      <c r="M46" t="s">
        <v>345</v>
      </c>
      <c r="N46" t="s">
        <v>346</v>
      </c>
      <c r="O46" t="s">
        <v>346</v>
      </c>
      <c r="P46" t="s">
        <v>54</v>
      </c>
      <c r="Q46" s="1">
        <v>1E-3</v>
      </c>
      <c r="R46" s="1">
        <v>5.0000000000000001E-3</v>
      </c>
      <c r="S46" s="5">
        <v>8.9000000000000006E-4</v>
      </c>
      <c r="T46" s="5">
        <v>4.45E-3</v>
      </c>
      <c r="U46" t="s">
        <v>55</v>
      </c>
      <c r="V46" t="s">
        <v>56</v>
      </c>
      <c r="X46" t="s">
        <v>57</v>
      </c>
      <c r="Y46" t="s">
        <v>58</v>
      </c>
      <c r="Z46" s="2">
        <v>45627</v>
      </c>
      <c r="AA46" s="2">
        <v>45657</v>
      </c>
      <c r="AB46" t="s">
        <v>347</v>
      </c>
      <c r="AC46">
        <v>1</v>
      </c>
      <c r="AD46" t="s">
        <v>156</v>
      </c>
      <c r="AE46">
        <v>5</v>
      </c>
      <c r="AG46" t="s">
        <v>55</v>
      </c>
      <c r="AH46">
        <v>1</v>
      </c>
      <c r="AI46" s="2">
        <v>45627</v>
      </c>
      <c r="AJ46" t="s">
        <v>348</v>
      </c>
      <c r="AK46" t="s">
        <v>349</v>
      </c>
      <c r="AO46" t="s">
        <v>159</v>
      </c>
    </row>
    <row r="47" spans="1:41">
      <c r="A47" t="s">
        <v>43</v>
      </c>
      <c r="B47" t="s">
        <v>44</v>
      </c>
      <c r="C47" t="s">
        <v>45</v>
      </c>
      <c r="D47" t="s">
        <v>46</v>
      </c>
      <c r="E47" t="s">
        <v>47</v>
      </c>
      <c r="F47" t="s">
        <v>48</v>
      </c>
      <c r="G47">
        <v>3797082</v>
      </c>
      <c r="H47">
        <v>0</v>
      </c>
      <c r="I47" t="s">
        <v>65</v>
      </c>
      <c r="J47" s="2">
        <v>45661</v>
      </c>
      <c r="K47" t="s">
        <v>258</v>
      </c>
      <c r="L47" t="s">
        <v>350</v>
      </c>
      <c r="M47" t="s">
        <v>351</v>
      </c>
      <c r="N47" t="s">
        <v>352</v>
      </c>
      <c r="O47" t="s">
        <v>262</v>
      </c>
      <c r="P47" t="s">
        <v>54</v>
      </c>
      <c r="Q47" s="1">
        <v>0.41399999999999998</v>
      </c>
      <c r="R47" s="1">
        <v>3.1809218039999996</v>
      </c>
      <c r="S47" s="5">
        <v>0.36846000000000001</v>
      </c>
      <c r="T47" s="5">
        <v>2.8310204055599999</v>
      </c>
      <c r="U47" t="s">
        <v>55</v>
      </c>
      <c r="V47" t="s">
        <v>56</v>
      </c>
      <c r="X47" t="s">
        <v>57</v>
      </c>
      <c r="Y47" t="s">
        <v>58</v>
      </c>
      <c r="Z47" s="2">
        <v>45627</v>
      </c>
      <c r="AA47" s="2">
        <v>45657</v>
      </c>
      <c r="AB47" t="s">
        <v>71</v>
      </c>
      <c r="AC47" t="s">
        <v>72</v>
      </c>
      <c r="AD47" t="s">
        <v>73</v>
      </c>
      <c r="AE47">
        <v>7.6833859999999996</v>
      </c>
      <c r="AG47" t="s">
        <v>55</v>
      </c>
      <c r="AH47">
        <v>1</v>
      </c>
      <c r="AI47" s="2">
        <v>45627</v>
      </c>
      <c r="AJ47" t="s">
        <v>353</v>
      </c>
      <c r="AK47" t="s">
        <v>354</v>
      </c>
      <c r="AO47" t="s">
        <v>76</v>
      </c>
    </row>
    <row r="48" spans="1:41">
      <c r="A48" t="s">
        <v>43</v>
      </c>
      <c r="B48" t="s">
        <v>44</v>
      </c>
      <c r="C48" t="s">
        <v>45</v>
      </c>
      <c r="D48" t="s">
        <v>46</v>
      </c>
      <c r="E48" t="s">
        <v>47</v>
      </c>
      <c r="F48" t="s">
        <v>48</v>
      </c>
      <c r="G48">
        <v>3797082</v>
      </c>
      <c r="H48">
        <v>0</v>
      </c>
      <c r="I48" t="s">
        <v>121</v>
      </c>
      <c r="J48" s="2">
        <v>45661</v>
      </c>
      <c r="K48" t="s">
        <v>78</v>
      </c>
      <c r="L48">
        <v>98</v>
      </c>
      <c r="M48" t="s">
        <v>355</v>
      </c>
      <c r="N48" t="s">
        <v>356</v>
      </c>
      <c r="O48" t="s">
        <v>82</v>
      </c>
      <c r="P48" t="s">
        <v>54</v>
      </c>
      <c r="Q48" s="1">
        <v>4.8</v>
      </c>
      <c r="R48" s="1">
        <v>33.597849600000004</v>
      </c>
      <c r="S48" s="5">
        <v>4.2720000000000002</v>
      </c>
      <c r="T48" s="5">
        <v>29.902086144000002</v>
      </c>
      <c r="U48" t="s">
        <v>55</v>
      </c>
      <c r="V48" t="s">
        <v>56</v>
      </c>
      <c r="X48" t="s">
        <v>57</v>
      </c>
      <c r="Y48" t="s">
        <v>58</v>
      </c>
      <c r="Z48" s="2">
        <v>45627</v>
      </c>
      <c r="AA48" s="2">
        <v>45657</v>
      </c>
      <c r="AB48" t="s">
        <v>137</v>
      </c>
      <c r="AC48" t="s">
        <v>138</v>
      </c>
      <c r="AD48" t="s">
        <v>128</v>
      </c>
      <c r="AE48">
        <v>6.9995520000000004</v>
      </c>
      <c r="AG48" t="s">
        <v>55</v>
      </c>
      <c r="AH48">
        <v>1</v>
      </c>
      <c r="AI48" s="2">
        <v>45627</v>
      </c>
      <c r="AJ48" t="s">
        <v>357</v>
      </c>
      <c r="AK48" t="s">
        <v>358</v>
      </c>
      <c r="AO48" t="s">
        <v>131</v>
      </c>
    </row>
    <row r="49" spans="1:41">
      <c r="A49" t="s">
        <v>43</v>
      </c>
      <c r="B49" t="s">
        <v>44</v>
      </c>
      <c r="C49" t="s">
        <v>45</v>
      </c>
      <c r="D49" t="s">
        <v>46</v>
      </c>
      <c r="E49" t="s">
        <v>47</v>
      </c>
      <c r="F49" t="s">
        <v>48</v>
      </c>
      <c r="G49">
        <v>3797082</v>
      </c>
      <c r="H49">
        <v>0</v>
      </c>
      <c r="I49" t="s">
        <v>121</v>
      </c>
      <c r="J49" s="2">
        <v>45661</v>
      </c>
      <c r="K49" t="s">
        <v>359</v>
      </c>
      <c r="L49" t="s">
        <v>360</v>
      </c>
      <c r="M49" t="s">
        <v>361</v>
      </c>
      <c r="N49" t="s">
        <v>362</v>
      </c>
      <c r="O49" t="s">
        <v>363</v>
      </c>
      <c r="P49" t="s">
        <v>54</v>
      </c>
      <c r="Q49" s="1">
        <v>1.75</v>
      </c>
      <c r="R49" s="1">
        <v>1302</v>
      </c>
      <c r="S49" s="5">
        <v>1.5575000000000001</v>
      </c>
      <c r="T49" s="5">
        <v>1158.78</v>
      </c>
      <c r="U49" t="s">
        <v>55</v>
      </c>
      <c r="V49" t="s">
        <v>56</v>
      </c>
      <c r="X49" t="s">
        <v>57</v>
      </c>
      <c r="Y49" t="s">
        <v>58</v>
      </c>
      <c r="Z49" s="2">
        <v>45627</v>
      </c>
      <c r="AA49" s="2">
        <v>45657</v>
      </c>
      <c r="AB49" t="s">
        <v>364</v>
      </c>
      <c r="AC49" t="s">
        <v>72</v>
      </c>
      <c r="AD49" t="s">
        <v>128</v>
      </c>
      <c r="AE49">
        <v>744</v>
      </c>
      <c r="AG49" t="s">
        <v>55</v>
      </c>
      <c r="AH49">
        <v>1</v>
      </c>
      <c r="AI49" s="2">
        <v>45627</v>
      </c>
      <c r="AJ49" t="s">
        <v>365</v>
      </c>
      <c r="AK49" t="s">
        <v>366</v>
      </c>
      <c r="AO49" t="s">
        <v>131</v>
      </c>
    </row>
    <row r="50" spans="1:41">
      <c r="A50" t="s">
        <v>43</v>
      </c>
      <c r="B50" t="s">
        <v>44</v>
      </c>
      <c r="C50" t="s">
        <v>45</v>
      </c>
      <c r="D50" t="s">
        <v>46</v>
      </c>
      <c r="E50" t="s">
        <v>47</v>
      </c>
      <c r="F50" t="s">
        <v>48</v>
      </c>
      <c r="G50">
        <v>3797082</v>
      </c>
      <c r="H50">
        <v>0</v>
      </c>
      <c r="I50" t="s">
        <v>172</v>
      </c>
      <c r="J50" s="2">
        <v>45661</v>
      </c>
      <c r="K50" t="s">
        <v>165</v>
      </c>
      <c r="L50">
        <v>3</v>
      </c>
      <c r="M50" t="s">
        <v>166</v>
      </c>
      <c r="N50" t="s">
        <v>167</v>
      </c>
      <c r="O50" t="s">
        <v>168</v>
      </c>
      <c r="P50" t="s">
        <v>54</v>
      </c>
      <c r="Q50" s="1">
        <v>0.08</v>
      </c>
      <c r="R50" s="1">
        <v>0.4</v>
      </c>
      <c r="S50" s="5">
        <v>7.1199999999999999E-2</v>
      </c>
      <c r="T50" s="5">
        <v>0.35599999999999998</v>
      </c>
      <c r="U50" t="s">
        <v>55</v>
      </c>
      <c r="V50" t="s">
        <v>56</v>
      </c>
      <c r="X50" t="s">
        <v>57</v>
      </c>
      <c r="Y50" t="s">
        <v>58</v>
      </c>
      <c r="Z50" s="2">
        <v>45627</v>
      </c>
      <c r="AA50" s="2">
        <v>45657</v>
      </c>
      <c r="AB50" t="s">
        <v>169</v>
      </c>
      <c r="AC50" t="s">
        <v>60</v>
      </c>
      <c r="AD50" t="s">
        <v>176</v>
      </c>
      <c r="AE50">
        <v>5</v>
      </c>
      <c r="AG50" t="s">
        <v>55</v>
      </c>
      <c r="AH50">
        <v>1</v>
      </c>
      <c r="AI50" s="2">
        <v>45627</v>
      </c>
      <c r="AJ50" t="s">
        <v>170</v>
      </c>
      <c r="AK50" s="3" t="s">
        <v>367</v>
      </c>
      <c r="AO50" t="s">
        <v>179</v>
      </c>
    </row>
    <row r="51" spans="1:41">
      <c r="A51" t="s">
        <v>43</v>
      </c>
      <c r="B51" t="s">
        <v>44</v>
      </c>
      <c r="C51" t="s">
        <v>45</v>
      </c>
      <c r="D51" t="s">
        <v>46</v>
      </c>
      <c r="E51" t="s">
        <v>47</v>
      </c>
      <c r="F51" t="s">
        <v>48</v>
      </c>
      <c r="G51">
        <v>3797082</v>
      </c>
      <c r="H51">
        <v>0</v>
      </c>
      <c r="I51" t="s">
        <v>65</v>
      </c>
      <c r="J51" s="2">
        <v>45661</v>
      </c>
      <c r="K51" t="s">
        <v>296</v>
      </c>
      <c r="L51" t="s">
        <v>297</v>
      </c>
      <c r="M51" t="s">
        <v>368</v>
      </c>
      <c r="N51" t="s">
        <v>299</v>
      </c>
      <c r="O51" t="s">
        <v>300</v>
      </c>
      <c r="P51" t="s">
        <v>54</v>
      </c>
      <c r="Q51" s="1">
        <v>3.6000000000000002E-4</v>
      </c>
      <c r="R51" s="1">
        <v>1.4000400000000002E-4</v>
      </c>
      <c r="S51" s="5">
        <v>3.2040000000000004E-4</v>
      </c>
      <c r="T51" s="5">
        <v>1.2460356000000003E-4</v>
      </c>
      <c r="U51" t="s">
        <v>55</v>
      </c>
      <c r="V51" t="s">
        <v>56</v>
      </c>
      <c r="X51" t="s">
        <v>57</v>
      </c>
      <c r="Y51" t="s">
        <v>58</v>
      </c>
      <c r="Z51" s="2">
        <v>45627</v>
      </c>
      <c r="AA51" s="2">
        <v>45657</v>
      </c>
      <c r="AB51" t="s">
        <v>369</v>
      </c>
      <c r="AC51" t="s">
        <v>84</v>
      </c>
      <c r="AD51" t="s">
        <v>73</v>
      </c>
      <c r="AE51">
        <v>0.38890000000000002</v>
      </c>
      <c r="AG51" t="s">
        <v>55</v>
      </c>
      <c r="AH51">
        <v>1</v>
      </c>
      <c r="AI51" s="2">
        <v>45627</v>
      </c>
      <c r="AJ51" t="s">
        <v>370</v>
      </c>
      <c r="AK51" t="s">
        <v>371</v>
      </c>
      <c r="AO51" t="s">
        <v>76</v>
      </c>
    </row>
    <row r="52" spans="1:41">
      <c r="A52" t="s">
        <v>43</v>
      </c>
      <c r="B52" t="s">
        <v>44</v>
      </c>
      <c r="C52" t="s">
        <v>45</v>
      </c>
      <c r="D52" t="s">
        <v>46</v>
      </c>
      <c r="E52" t="s">
        <v>47</v>
      </c>
      <c r="F52" t="s">
        <v>48</v>
      </c>
      <c r="G52">
        <v>3797082</v>
      </c>
      <c r="H52">
        <v>0</v>
      </c>
      <c r="I52" t="s">
        <v>89</v>
      </c>
      <c r="J52" s="2">
        <v>45661</v>
      </c>
      <c r="K52" t="s">
        <v>228</v>
      </c>
      <c r="L52" t="s">
        <v>372</v>
      </c>
      <c r="M52" t="s">
        <v>373</v>
      </c>
      <c r="N52" t="s">
        <v>374</v>
      </c>
      <c r="O52" t="s">
        <v>232</v>
      </c>
      <c r="P52" t="s">
        <v>54</v>
      </c>
      <c r="Q52" s="1">
        <v>0.1</v>
      </c>
      <c r="R52" s="1">
        <v>0.19650537630000001</v>
      </c>
      <c r="S52" s="5">
        <v>8.900000000000001E-2</v>
      </c>
      <c r="T52" s="5">
        <v>0.17488978490700002</v>
      </c>
      <c r="U52" t="s">
        <v>55</v>
      </c>
      <c r="V52" t="s">
        <v>56</v>
      </c>
      <c r="X52" t="s">
        <v>57</v>
      </c>
      <c r="Y52" t="s">
        <v>58</v>
      </c>
      <c r="Z52" s="2">
        <v>45627</v>
      </c>
      <c r="AA52" s="2">
        <v>45657</v>
      </c>
      <c r="AB52" t="s">
        <v>375</v>
      </c>
      <c r="AC52" t="s">
        <v>138</v>
      </c>
      <c r="AD52" t="s">
        <v>94</v>
      </c>
      <c r="AE52">
        <v>1.965053763</v>
      </c>
      <c r="AG52" t="s">
        <v>55</v>
      </c>
      <c r="AH52">
        <v>1</v>
      </c>
      <c r="AI52" s="2">
        <v>45627</v>
      </c>
      <c r="AJ52" t="s">
        <v>376</v>
      </c>
      <c r="AK52" t="s">
        <v>377</v>
      </c>
      <c r="AO52" t="s">
        <v>97</v>
      </c>
    </row>
    <row r="53" spans="1:41">
      <c r="A53" t="s">
        <v>43</v>
      </c>
      <c r="B53" t="s">
        <v>44</v>
      </c>
      <c r="C53" t="s">
        <v>45</v>
      </c>
      <c r="D53" t="s">
        <v>46</v>
      </c>
      <c r="E53" t="s">
        <v>47</v>
      </c>
      <c r="F53" t="s">
        <v>48</v>
      </c>
      <c r="G53">
        <v>3797082</v>
      </c>
      <c r="H53">
        <v>0</v>
      </c>
      <c r="I53" t="s">
        <v>121</v>
      </c>
      <c r="J53" s="2">
        <v>45661</v>
      </c>
      <c r="K53" t="s">
        <v>122</v>
      </c>
      <c r="L53">
        <v>81</v>
      </c>
      <c r="M53" t="s">
        <v>378</v>
      </c>
      <c r="N53" t="s">
        <v>379</v>
      </c>
      <c r="O53" t="s">
        <v>126</v>
      </c>
      <c r="P53" t="s">
        <v>54</v>
      </c>
      <c r="Q53" s="1">
        <v>0.36099999999999999</v>
      </c>
      <c r="R53" s="1">
        <v>268.584</v>
      </c>
      <c r="S53" s="5">
        <v>0.32129000000000002</v>
      </c>
      <c r="T53" s="5">
        <v>239.03976</v>
      </c>
      <c r="U53" t="s">
        <v>55</v>
      </c>
      <c r="V53" t="s">
        <v>56</v>
      </c>
      <c r="X53" t="s">
        <v>57</v>
      </c>
      <c r="Y53" t="s">
        <v>58</v>
      </c>
      <c r="Z53" s="2">
        <v>45627</v>
      </c>
      <c r="AA53" s="2">
        <v>45657</v>
      </c>
      <c r="AB53" t="s">
        <v>127</v>
      </c>
      <c r="AC53" t="s">
        <v>72</v>
      </c>
      <c r="AD53" t="s">
        <v>128</v>
      </c>
      <c r="AE53">
        <v>744</v>
      </c>
      <c r="AG53" t="s">
        <v>55</v>
      </c>
      <c r="AH53">
        <v>1</v>
      </c>
      <c r="AI53" s="2">
        <v>45627</v>
      </c>
      <c r="AJ53" t="s">
        <v>380</v>
      </c>
      <c r="AK53" t="s">
        <v>381</v>
      </c>
      <c r="AO53" t="s">
        <v>131</v>
      </c>
    </row>
    <row r="54" spans="1:41">
      <c r="A54" t="s">
        <v>43</v>
      </c>
      <c r="B54" t="s">
        <v>44</v>
      </c>
      <c r="C54" t="s">
        <v>45</v>
      </c>
      <c r="D54" t="s">
        <v>46</v>
      </c>
      <c r="E54" t="s">
        <v>47</v>
      </c>
      <c r="F54" t="s">
        <v>48</v>
      </c>
      <c r="G54">
        <v>3797082</v>
      </c>
      <c r="H54">
        <v>0</v>
      </c>
      <c r="I54" t="s">
        <v>65</v>
      </c>
      <c r="J54" s="2">
        <v>45661</v>
      </c>
      <c r="K54" t="s">
        <v>296</v>
      </c>
      <c r="L54" t="s">
        <v>297</v>
      </c>
      <c r="M54" t="s">
        <v>382</v>
      </c>
      <c r="N54" t="s">
        <v>299</v>
      </c>
      <c r="O54" t="s">
        <v>300</v>
      </c>
      <c r="P54" t="s">
        <v>54</v>
      </c>
      <c r="Q54" s="1">
        <v>3.6000000000000002E-4</v>
      </c>
      <c r="R54" s="1">
        <v>0.20057270399999999</v>
      </c>
      <c r="S54" s="5">
        <v>3.2040000000000004E-4</v>
      </c>
      <c r="T54" s="5">
        <v>0.17850970656000001</v>
      </c>
      <c r="U54" t="s">
        <v>55</v>
      </c>
      <c r="V54" t="s">
        <v>56</v>
      </c>
      <c r="X54" t="s">
        <v>57</v>
      </c>
      <c r="Y54" t="s">
        <v>58</v>
      </c>
      <c r="Z54" s="2">
        <v>45627</v>
      </c>
      <c r="AA54" s="2">
        <v>45657</v>
      </c>
      <c r="AB54" t="s">
        <v>383</v>
      </c>
      <c r="AC54" t="s">
        <v>84</v>
      </c>
      <c r="AD54" t="s">
        <v>73</v>
      </c>
      <c r="AE54">
        <v>557.14639999999997</v>
      </c>
      <c r="AG54" t="s">
        <v>55</v>
      </c>
      <c r="AH54">
        <v>1</v>
      </c>
      <c r="AI54" s="2">
        <v>45627</v>
      </c>
      <c r="AJ54" t="s">
        <v>384</v>
      </c>
      <c r="AK54" t="s">
        <v>385</v>
      </c>
      <c r="AO54" t="s">
        <v>76</v>
      </c>
    </row>
    <row r="55" spans="1:41">
      <c r="A55" t="s">
        <v>43</v>
      </c>
      <c r="B55" t="s">
        <v>44</v>
      </c>
      <c r="C55" t="s">
        <v>45</v>
      </c>
      <c r="D55" t="s">
        <v>46</v>
      </c>
      <c r="E55" t="s">
        <v>47</v>
      </c>
      <c r="F55" t="s">
        <v>48</v>
      </c>
      <c r="G55">
        <v>3797082</v>
      </c>
      <c r="H55">
        <v>0</v>
      </c>
      <c r="I55" t="s">
        <v>149</v>
      </c>
      <c r="J55" s="2">
        <v>45661</v>
      </c>
      <c r="K55" t="s">
        <v>386</v>
      </c>
      <c r="L55">
        <v>1</v>
      </c>
      <c r="M55" t="s">
        <v>387</v>
      </c>
      <c r="N55" t="s">
        <v>388</v>
      </c>
      <c r="O55" t="s">
        <v>388</v>
      </c>
      <c r="P55" t="s">
        <v>54</v>
      </c>
      <c r="Q55" s="1">
        <v>0</v>
      </c>
      <c r="R55" s="1">
        <v>0</v>
      </c>
      <c r="S55" s="5">
        <v>0</v>
      </c>
      <c r="T55" s="5">
        <v>0</v>
      </c>
      <c r="U55" t="s">
        <v>55</v>
      </c>
      <c r="V55" t="s">
        <v>56</v>
      </c>
      <c r="X55" t="s">
        <v>57</v>
      </c>
      <c r="Y55" t="s">
        <v>58</v>
      </c>
      <c r="Z55" s="2">
        <v>45627</v>
      </c>
      <c r="AA55" s="2">
        <v>45657</v>
      </c>
      <c r="AB55" t="s">
        <v>389</v>
      </c>
      <c r="AC55" t="s">
        <v>72</v>
      </c>
      <c r="AD55" t="s">
        <v>156</v>
      </c>
      <c r="AE55">
        <v>743.93341199999998</v>
      </c>
      <c r="AG55" t="s">
        <v>55</v>
      </c>
      <c r="AH55">
        <v>1</v>
      </c>
      <c r="AI55" s="2">
        <v>45627</v>
      </c>
      <c r="AJ55" t="s">
        <v>390</v>
      </c>
      <c r="AK55" t="s">
        <v>391</v>
      </c>
      <c r="AO55" t="s">
        <v>159</v>
      </c>
    </row>
    <row r="56" spans="1:41">
      <c r="A56" t="s">
        <v>43</v>
      </c>
      <c r="B56" t="s">
        <v>44</v>
      </c>
      <c r="C56" t="s">
        <v>45</v>
      </c>
      <c r="D56" t="s">
        <v>46</v>
      </c>
      <c r="E56" t="s">
        <v>47</v>
      </c>
      <c r="F56" t="s">
        <v>48</v>
      </c>
      <c r="G56">
        <v>3797082</v>
      </c>
      <c r="H56">
        <v>0</v>
      </c>
      <c r="I56" t="s">
        <v>172</v>
      </c>
      <c r="J56" s="2">
        <v>45661</v>
      </c>
      <c r="K56" t="s">
        <v>309</v>
      </c>
      <c r="L56" t="s">
        <v>392</v>
      </c>
      <c r="M56" t="s">
        <v>393</v>
      </c>
      <c r="N56" t="s">
        <v>394</v>
      </c>
      <c r="O56" t="s">
        <v>312</v>
      </c>
      <c r="P56" t="s">
        <v>54</v>
      </c>
      <c r="Q56" s="1">
        <v>10</v>
      </c>
      <c r="R56" s="1">
        <v>195</v>
      </c>
      <c r="S56" s="5">
        <v>8.9</v>
      </c>
      <c r="T56" s="5">
        <v>173.55</v>
      </c>
      <c r="U56" t="s">
        <v>55</v>
      </c>
      <c r="V56" t="s">
        <v>56</v>
      </c>
      <c r="X56" t="s">
        <v>57</v>
      </c>
      <c r="Y56" t="s">
        <v>58</v>
      </c>
      <c r="Z56" s="2">
        <v>45627</v>
      </c>
      <c r="AA56" s="2">
        <v>45657</v>
      </c>
      <c r="AB56" t="s">
        <v>395</v>
      </c>
      <c r="AC56" t="s">
        <v>138</v>
      </c>
      <c r="AD56" t="s">
        <v>176</v>
      </c>
      <c r="AE56">
        <v>19.5</v>
      </c>
      <c r="AG56" t="s">
        <v>55</v>
      </c>
      <c r="AH56">
        <v>1</v>
      </c>
      <c r="AI56" s="2">
        <v>45627</v>
      </c>
      <c r="AJ56" t="s">
        <v>396</v>
      </c>
      <c r="AK56" t="s">
        <v>397</v>
      </c>
      <c r="AO56" t="s">
        <v>179</v>
      </c>
    </row>
    <row r="57" spans="1:41">
      <c r="A57" t="s">
        <v>43</v>
      </c>
      <c r="B57" t="s">
        <v>44</v>
      </c>
      <c r="C57" t="s">
        <v>45</v>
      </c>
      <c r="D57" t="s">
        <v>46</v>
      </c>
      <c r="E57" t="s">
        <v>47</v>
      </c>
      <c r="F57" t="s">
        <v>48</v>
      </c>
      <c r="G57">
        <v>3797082</v>
      </c>
      <c r="H57">
        <v>0</v>
      </c>
      <c r="I57" t="s">
        <v>149</v>
      </c>
      <c r="J57" s="2">
        <v>45661</v>
      </c>
      <c r="K57" t="s">
        <v>258</v>
      </c>
      <c r="L57" t="s">
        <v>398</v>
      </c>
      <c r="M57" t="s">
        <v>399</v>
      </c>
      <c r="N57" t="s">
        <v>400</v>
      </c>
      <c r="O57" t="s">
        <v>262</v>
      </c>
      <c r="P57" t="s">
        <v>54</v>
      </c>
      <c r="Q57" s="1">
        <v>0.82899999999999996</v>
      </c>
      <c r="R57" s="1">
        <v>616.77599999999995</v>
      </c>
      <c r="S57" s="5">
        <v>0.73780999999999997</v>
      </c>
      <c r="T57" s="5">
        <v>548.93063999999993</v>
      </c>
      <c r="U57" t="s">
        <v>55</v>
      </c>
      <c r="V57" t="s">
        <v>56</v>
      </c>
      <c r="X57" t="s">
        <v>57</v>
      </c>
      <c r="Y57" t="s">
        <v>58</v>
      </c>
      <c r="Z57" s="2">
        <v>45627</v>
      </c>
      <c r="AA57" s="2">
        <v>45657</v>
      </c>
      <c r="AB57" t="s">
        <v>71</v>
      </c>
      <c r="AC57" t="s">
        <v>72</v>
      </c>
      <c r="AD57" t="s">
        <v>156</v>
      </c>
      <c r="AE57">
        <v>744</v>
      </c>
      <c r="AG57" t="s">
        <v>55</v>
      </c>
      <c r="AH57">
        <v>1</v>
      </c>
      <c r="AI57" s="2">
        <v>45627</v>
      </c>
      <c r="AJ57" t="s">
        <v>401</v>
      </c>
      <c r="AK57" t="s">
        <v>402</v>
      </c>
      <c r="AO57" t="s">
        <v>159</v>
      </c>
    </row>
    <row r="58" spans="1:41">
      <c r="A58" t="s">
        <v>43</v>
      </c>
      <c r="B58" t="s">
        <v>44</v>
      </c>
      <c r="C58" t="s">
        <v>45</v>
      </c>
      <c r="D58" t="s">
        <v>46</v>
      </c>
      <c r="E58" t="s">
        <v>47</v>
      </c>
      <c r="F58" t="s">
        <v>48</v>
      </c>
      <c r="G58">
        <v>3797082</v>
      </c>
      <c r="H58">
        <v>0</v>
      </c>
      <c r="I58" t="s">
        <v>65</v>
      </c>
      <c r="J58" s="2">
        <v>45661</v>
      </c>
      <c r="K58" t="s">
        <v>403</v>
      </c>
      <c r="L58">
        <v>27</v>
      </c>
      <c r="M58" t="s">
        <v>404</v>
      </c>
      <c r="N58" t="s">
        <v>405</v>
      </c>
      <c r="O58" t="s">
        <v>406</v>
      </c>
      <c r="P58" t="s">
        <v>54</v>
      </c>
      <c r="Q58" s="1">
        <v>0.21199999999999999</v>
      </c>
      <c r="R58" s="1">
        <v>157.72800000000001</v>
      </c>
      <c r="S58" s="5">
        <v>0.18867999999999999</v>
      </c>
      <c r="T58" s="5">
        <v>140.37791999999999</v>
      </c>
      <c r="U58" t="s">
        <v>55</v>
      </c>
      <c r="V58" t="s">
        <v>56</v>
      </c>
      <c r="X58" t="s">
        <v>57</v>
      </c>
      <c r="Y58" t="s">
        <v>58</v>
      </c>
      <c r="Z58" s="2">
        <v>45627</v>
      </c>
      <c r="AA58" s="2">
        <v>45657</v>
      </c>
      <c r="AB58" t="s">
        <v>71</v>
      </c>
      <c r="AC58" t="s">
        <v>72</v>
      </c>
      <c r="AD58" t="s">
        <v>73</v>
      </c>
      <c r="AE58">
        <v>744</v>
      </c>
      <c r="AG58" t="s">
        <v>55</v>
      </c>
      <c r="AH58">
        <v>1</v>
      </c>
      <c r="AI58" s="2">
        <v>45627</v>
      </c>
      <c r="AJ58" t="s">
        <v>407</v>
      </c>
      <c r="AK58" t="s">
        <v>408</v>
      </c>
      <c r="AO58" t="s">
        <v>76</v>
      </c>
    </row>
    <row r="59" spans="1:41">
      <c r="A59" t="s">
        <v>43</v>
      </c>
      <c r="B59" t="s">
        <v>44</v>
      </c>
      <c r="C59" t="s">
        <v>45</v>
      </c>
      <c r="D59" t="s">
        <v>46</v>
      </c>
      <c r="E59" t="s">
        <v>47</v>
      </c>
      <c r="F59" t="s">
        <v>48</v>
      </c>
      <c r="G59">
        <v>3797082</v>
      </c>
      <c r="H59">
        <v>0</v>
      </c>
      <c r="I59" t="s">
        <v>49</v>
      </c>
      <c r="J59" s="2">
        <v>45661</v>
      </c>
      <c r="K59" t="s">
        <v>258</v>
      </c>
      <c r="L59" t="s">
        <v>409</v>
      </c>
      <c r="M59" t="s">
        <v>410</v>
      </c>
      <c r="N59" t="s">
        <v>411</v>
      </c>
      <c r="O59" t="s">
        <v>262</v>
      </c>
      <c r="P59" t="s">
        <v>54</v>
      </c>
      <c r="Q59" s="1">
        <v>0.74199999999999999</v>
      </c>
      <c r="R59" s="1">
        <v>545.33291409799995</v>
      </c>
      <c r="S59" s="5">
        <v>0.66037999999999997</v>
      </c>
      <c r="T59" s="5">
        <v>485.34629354722</v>
      </c>
      <c r="U59" t="s">
        <v>55</v>
      </c>
      <c r="V59" t="s">
        <v>56</v>
      </c>
      <c r="X59" t="s">
        <v>57</v>
      </c>
      <c r="Y59" t="s">
        <v>58</v>
      </c>
      <c r="Z59" s="2">
        <v>45627</v>
      </c>
      <c r="AA59" s="2">
        <v>45657</v>
      </c>
      <c r="AB59" t="s">
        <v>71</v>
      </c>
      <c r="AC59" t="s">
        <v>72</v>
      </c>
      <c r="AD59" t="s">
        <v>61</v>
      </c>
      <c r="AE59">
        <v>734.950019</v>
      </c>
      <c r="AG59" t="s">
        <v>55</v>
      </c>
      <c r="AH59">
        <v>1</v>
      </c>
      <c r="AI59" s="2">
        <v>45627</v>
      </c>
      <c r="AJ59" t="s">
        <v>412</v>
      </c>
      <c r="AK59" t="s">
        <v>413</v>
      </c>
      <c r="AO59" t="s">
        <v>64</v>
      </c>
    </row>
    <row r="60" spans="1:41">
      <c r="A60" t="s">
        <v>43</v>
      </c>
      <c r="B60" t="s">
        <v>44</v>
      </c>
      <c r="C60" t="s">
        <v>45</v>
      </c>
      <c r="D60" t="s">
        <v>46</v>
      </c>
      <c r="E60" t="s">
        <v>47</v>
      </c>
      <c r="F60" t="s">
        <v>48</v>
      </c>
      <c r="G60">
        <v>3797082</v>
      </c>
      <c r="H60">
        <v>0</v>
      </c>
      <c r="I60" t="s">
        <v>77</v>
      </c>
      <c r="J60" s="2">
        <v>45661</v>
      </c>
      <c r="K60" t="s">
        <v>282</v>
      </c>
      <c r="L60">
        <v>8</v>
      </c>
      <c r="M60" t="s">
        <v>414</v>
      </c>
      <c r="N60" t="s">
        <v>284</v>
      </c>
      <c r="O60" t="s">
        <v>285</v>
      </c>
      <c r="P60" t="s">
        <v>54</v>
      </c>
      <c r="Q60" s="1">
        <v>1.44E-2</v>
      </c>
      <c r="R60" s="1">
        <v>19.219568644799999</v>
      </c>
      <c r="S60" s="5">
        <v>1.2815999999999999E-2</v>
      </c>
      <c r="T60" s="5">
        <v>17.105416093871998</v>
      </c>
      <c r="U60" t="s">
        <v>55</v>
      </c>
      <c r="V60" t="s">
        <v>56</v>
      </c>
      <c r="X60" t="s">
        <v>57</v>
      </c>
      <c r="Y60" t="s">
        <v>58</v>
      </c>
      <c r="Z60" s="2">
        <v>45627</v>
      </c>
      <c r="AA60" s="2">
        <v>45657</v>
      </c>
      <c r="AB60" t="s">
        <v>415</v>
      </c>
      <c r="AC60" t="s">
        <v>287</v>
      </c>
      <c r="AD60" t="s">
        <v>85</v>
      </c>
      <c r="AE60">
        <v>1334.6922669999999</v>
      </c>
      <c r="AG60" t="s">
        <v>55</v>
      </c>
      <c r="AH60">
        <v>1</v>
      </c>
      <c r="AI60" s="2">
        <v>45627</v>
      </c>
      <c r="AJ60" t="s">
        <v>416</v>
      </c>
      <c r="AK60" t="s">
        <v>417</v>
      </c>
      <c r="AO60" t="s">
        <v>88</v>
      </c>
    </row>
    <row r="61" spans="1:41">
      <c r="A61" t="s">
        <v>43</v>
      </c>
      <c r="B61" t="s">
        <v>44</v>
      </c>
      <c r="C61" t="s">
        <v>45</v>
      </c>
      <c r="D61" t="s">
        <v>46</v>
      </c>
      <c r="E61" t="s">
        <v>47</v>
      </c>
      <c r="F61" t="s">
        <v>48</v>
      </c>
      <c r="G61">
        <v>3797082</v>
      </c>
      <c r="H61">
        <v>0</v>
      </c>
      <c r="I61" t="s">
        <v>77</v>
      </c>
      <c r="J61" s="2">
        <v>45661</v>
      </c>
      <c r="K61" t="s">
        <v>78</v>
      </c>
      <c r="L61" t="s">
        <v>418</v>
      </c>
      <c r="M61" t="s">
        <v>419</v>
      </c>
      <c r="N61" t="s">
        <v>420</v>
      </c>
      <c r="O61" t="s">
        <v>82</v>
      </c>
      <c r="P61" t="s">
        <v>54</v>
      </c>
      <c r="Q61" s="1">
        <v>9.6</v>
      </c>
      <c r="R61" s="1">
        <v>76.665638400000006</v>
      </c>
      <c r="S61" s="5">
        <v>8.5440000000000005</v>
      </c>
      <c r="T61" s="5">
        <v>68.23241817600001</v>
      </c>
      <c r="U61" t="s">
        <v>55</v>
      </c>
      <c r="V61" t="s">
        <v>56</v>
      </c>
      <c r="X61" t="s">
        <v>57</v>
      </c>
      <c r="Y61" t="s">
        <v>58</v>
      </c>
      <c r="Z61" s="2">
        <v>45627</v>
      </c>
      <c r="AA61" s="2">
        <v>45657</v>
      </c>
      <c r="AB61" t="s">
        <v>137</v>
      </c>
      <c r="AC61" t="s">
        <v>138</v>
      </c>
      <c r="AD61" t="s">
        <v>85</v>
      </c>
      <c r="AE61">
        <v>7.9860040000000003</v>
      </c>
      <c r="AG61" t="s">
        <v>55</v>
      </c>
      <c r="AH61">
        <v>1</v>
      </c>
      <c r="AI61" s="2">
        <v>45627</v>
      </c>
      <c r="AJ61" t="s">
        <v>421</v>
      </c>
      <c r="AK61" t="s">
        <v>422</v>
      </c>
      <c r="AO61" t="s">
        <v>88</v>
      </c>
    </row>
    <row r="62" spans="1:41">
      <c r="A62" t="s">
        <v>43</v>
      </c>
      <c r="B62" t="s">
        <v>44</v>
      </c>
      <c r="C62" t="s">
        <v>45</v>
      </c>
      <c r="D62" t="s">
        <v>46</v>
      </c>
      <c r="E62" t="s">
        <v>47</v>
      </c>
      <c r="F62" t="s">
        <v>48</v>
      </c>
      <c r="G62">
        <v>3797082</v>
      </c>
      <c r="H62">
        <v>0</v>
      </c>
      <c r="I62" t="s">
        <v>172</v>
      </c>
      <c r="J62" s="2">
        <v>45661</v>
      </c>
      <c r="K62" t="s">
        <v>423</v>
      </c>
      <c r="L62" t="s">
        <v>424</v>
      </c>
      <c r="M62" t="s">
        <v>425</v>
      </c>
      <c r="N62" t="s">
        <v>426</v>
      </c>
      <c r="O62" t="s">
        <v>427</v>
      </c>
      <c r="P62" t="s">
        <v>54</v>
      </c>
      <c r="Q62" s="1">
        <v>4</v>
      </c>
      <c r="R62" s="1">
        <v>4.6272000000000001E-2</v>
      </c>
      <c r="S62" s="5">
        <v>3.56</v>
      </c>
      <c r="T62" s="5">
        <v>4.1182080000000003E-2</v>
      </c>
      <c r="U62" t="s">
        <v>55</v>
      </c>
      <c r="V62" t="s">
        <v>56</v>
      </c>
      <c r="X62" t="s">
        <v>57</v>
      </c>
      <c r="Y62" t="s">
        <v>58</v>
      </c>
      <c r="Z62" s="2">
        <v>45627</v>
      </c>
      <c r="AA62" s="2">
        <v>45657</v>
      </c>
      <c r="AB62" t="s">
        <v>428</v>
      </c>
      <c r="AC62" t="s">
        <v>429</v>
      </c>
      <c r="AD62" t="s">
        <v>176</v>
      </c>
      <c r="AE62">
        <v>1.1568E-2</v>
      </c>
      <c r="AG62" t="s">
        <v>55</v>
      </c>
      <c r="AH62">
        <v>1</v>
      </c>
      <c r="AI62" s="2">
        <v>45627</v>
      </c>
      <c r="AJ62" t="s">
        <v>430</v>
      </c>
      <c r="AK62" t="s">
        <v>431</v>
      </c>
      <c r="AO62" t="s">
        <v>179</v>
      </c>
    </row>
    <row r="63" spans="1:41">
      <c r="A63" t="s">
        <v>43</v>
      </c>
      <c r="B63" t="s">
        <v>44</v>
      </c>
      <c r="C63" t="s">
        <v>45</v>
      </c>
      <c r="D63" t="s">
        <v>46</v>
      </c>
      <c r="E63" t="s">
        <v>47</v>
      </c>
      <c r="F63" t="s">
        <v>48</v>
      </c>
      <c r="G63">
        <v>3797082</v>
      </c>
      <c r="H63">
        <v>0</v>
      </c>
      <c r="I63" t="s">
        <v>149</v>
      </c>
      <c r="J63" s="2">
        <v>45661</v>
      </c>
      <c r="K63" t="s">
        <v>258</v>
      </c>
      <c r="L63" t="s">
        <v>432</v>
      </c>
      <c r="M63" t="s">
        <v>433</v>
      </c>
      <c r="N63" t="s">
        <v>434</v>
      </c>
      <c r="O63" t="s">
        <v>262</v>
      </c>
      <c r="P63" t="s">
        <v>54</v>
      </c>
      <c r="Q63" s="1">
        <v>0.186</v>
      </c>
      <c r="R63" s="1">
        <v>138.38399999999999</v>
      </c>
      <c r="S63" s="5">
        <v>0.16553999999999999</v>
      </c>
      <c r="T63" s="5">
        <v>123.16176</v>
      </c>
      <c r="U63" t="s">
        <v>55</v>
      </c>
      <c r="V63" t="s">
        <v>56</v>
      </c>
      <c r="X63" t="s">
        <v>57</v>
      </c>
      <c r="Y63" t="s">
        <v>58</v>
      </c>
      <c r="Z63" s="2">
        <v>45627</v>
      </c>
      <c r="AA63" s="2">
        <v>45657</v>
      </c>
      <c r="AB63" t="s">
        <v>71</v>
      </c>
      <c r="AC63" t="s">
        <v>72</v>
      </c>
      <c r="AD63" t="s">
        <v>156</v>
      </c>
      <c r="AE63">
        <v>744</v>
      </c>
      <c r="AG63" t="s">
        <v>55</v>
      </c>
      <c r="AH63">
        <v>1</v>
      </c>
      <c r="AI63" s="2">
        <v>45627</v>
      </c>
      <c r="AJ63" t="s">
        <v>435</v>
      </c>
      <c r="AK63" t="s">
        <v>436</v>
      </c>
      <c r="AO63" t="s">
        <v>159</v>
      </c>
    </row>
    <row r="64" spans="1:41">
      <c r="A64" t="s">
        <v>43</v>
      </c>
      <c r="B64" t="s">
        <v>44</v>
      </c>
      <c r="C64" t="s">
        <v>45</v>
      </c>
      <c r="D64" t="s">
        <v>46</v>
      </c>
      <c r="E64" t="s">
        <v>47</v>
      </c>
      <c r="F64" t="s">
        <v>48</v>
      </c>
      <c r="G64">
        <v>3797082</v>
      </c>
      <c r="H64">
        <v>0</v>
      </c>
      <c r="I64" t="s">
        <v>77</v>
      </c>
      <c r="J64" s="2">
        <v>45661</v>
      </c>
      <c r="K64" t="s">
        <v>359</v>
      </c>
      <c r="L64" t="s">
        <v>360</v>
      </c>
      <c r="M64" t="s">
        <v>437</v>
      </c>
      <c r="N64" t="s">
        <v>362</v>
      </c>
      <c r="O64" t="s">
        <v>363</v>
      </c>
      <c r="P64" t="s">
        <v>54</v>
      </c>
      <c r="Q64" s="1">
        <v>1.6E-2</v>
      </c>
      <c r="R64" s="1">
        <v>19.496477104</v>
      </c>
      <c r="S64" s="5">
        <v>1.4240000000000001E-2</v>
      </c>
      <c r="T64" s="5">
        <v>17.351864622560001</v>
      </c>
      <c r="U64" t="s">
        <v>55</v>
      </c>
      <c r="V64" t="s">
        <v>56</v>
      </c>
      <c r="X64" t="s">
        <v>57</v>
      </c>
      <c r="Y64" t="s">
        <v>58</v>
      </c>
      <c r="Z64" s="2">
        <v>45627</v>
      </c>
      <c r="AA64" s="2">
        <v>45657</v>
      </c>
      <c r="AB64" t="s">
        <v>438</v>
      </c>
      <c r="AC64" t="s">
        <v>60</v>
      </c>
      <c r="AD64" t="s">
        <v>85</v>
      </c>
      <c r="AE64">
        <v>1218.5298190000001</v>
      </c>
      <c r="AG64" t="s">
        <v>55</v>
      </c>
      <c r="AH64">
        <v>1</v>
      </c>
      <c r="AI64" s="2">
        <v>45627</v>
      </c>
      <c r="AJ64" t="s">
        <v>439</v>
      </c>
      <c r="AK64" t="s">
        <v>440</v>
      </c>
      <c r="AO64" t="s">
        <v>88</v>
      </c>
    </row>
    <row r="65" spans="1:41">
      <c r="A65" t="s">
        <v>43</v>
      </c>
      <c r="B65" t="s">
        <v>44</v>
      </c>
      <c r="C65" t="s">
        <v>45</v>
      </c>
      <c r="D65" t="s">
        <v>46</v>
      </c>
      <c r="E65" t="s">
        <v>47</v>
      </c>
      <c r="F65" t="s">
        <v>48</v>
      </c>
      <c r="G65">
        <v>3797082</v>
      </c>
      <c r="H65">
        <v>0</v>
      </c>
      <c r="I65" t="s">
        <v>149</v>
      </c>
      <c r="J65" s="2">
        <v>45661</v>
      </c>
      <c r="K65" t="s">
        <v>331</v>
      </c>
      <c r="L65" t="s">
        <v>441</v>
      </c>
      <c r="M65" t="s">
        <v>442</v>
      </c>
      <c r="N65" t="s">
        <v>443</v>
      </c>
      <c r="O65" t="s">
        <v>335</v>
      </c>
      <c r="P65" t="s">
        <v>54</v>
      </c>
      <c r="Q65" s="1">
        <v>5.0000000000000001E-4</v>
      </c>
      <c r="R65" s="1">
        <v>1.25214E-2</v>
      </c>
      <c r="S65" s="5">
        <v>4.4500000000000003E-4</v>
      </c>
      <c r="T65" s="5">
        <v>1.1144046000000001E-2</v>
      </c>
      <c r="U65" t="s">
        <v>55</v>
      </c>
      <c r="V65" t="s">
        <v>56</v>
      </c>
      <c r="X65" t="s">
        <v>57</v>
      </c>
      <c r="Y65" t="s">
        <v>58</v>
      </c>
      <c r="Z65" s="2">
        <v>45627</v>
      </c>
      <c r="AA65" s="2">
        <v>45657</v>
      </c>
      <c r="AB65" t="s">
        <v>83</v>
      </c>
      <c r="AC65" t="s">
        <v>84</v>
      </c>
      <c r="AD65" t="s">
        <v>156</v>
      </c>
      <c r="AE65">
        <v>25.0428</v>
      </c>
      <c r="AG65" t="s">
        <v>55</v>
      </c>
      <c r="AH65">
        <v>1</v>
      </c>
      <c r="AI65" s="2">
        <v>45627</v>
      </c>
      <c r="AJ65" t="s">
        <v>444</v>
      </c>
      <c r="AK65" t="s">
        <v>445</v>
      </c>
      <c r="AO65" t="s">
        <v>159</v>
      </c>
    </row>
    <row r="66" spans="1:41">
      <c r="A66" t="s">
        <v>43</v>
      </c>
      <c r="B66" t="s">
        <v>44</v>
      </c>
      <c r="C66" t="s">
        <v>45</v>
      </c>
      <c r="D66" t="s">
        <v>46</v>
      </c>
      <c r="E66" t="s">
        <v>47</v>
      </c>
      <c r="F66" t="s">
        <v>48</v>
      </c>
      <c r="G66">
        <v>3797082</v>
      </c>
      <c r="H66">
        <v>0</v>
      </c>
      <c r="I66" t="s">
        <v>172</v>
      </c>
      <c r="J66" s="2">
        <v>45661</v>
      </c>
      <c r="K66" t="s">
        <v>446</v>
      </c>
      <c r="L66" t="s">
        <v>447</v>
      </c>
      <c r="M66" t="s">
        <v>448</v>
      </c>
      <c r="N66" t="s">
        <v>449</v>
      </c>
      <c r="O66" t="s">
        <v>450</v>
      </c>
      <c r="P66" t="s">
        <v>54</v>
      </c>
      <c r="Q66" s="1">
        <v>0.06</v>
      </c>
      <c r="R66" s="1">
        <v>0.89720928</v>
      </c>
      <c r="S66" s="5">
        <v>5.3399999999999996E-2</v>
      </c>
      <c r="T66" s="5">
        <v>0.79851625919999991</v>
      </c>
      <c r="U66" t="s">
        <v>55</v>
      </c>
      <c r="V66" t="s">
        <v>56</v>
      </c>
      <c r="X66" t="s">
        <v>57</v>
      </c>
      <c r="Y66" t="s">
        <v>58</v>
      </c>
      <c r="Z66" s="2">
        <v>45627</v>
      </c>
      <c r="AA66" s="2">
        <v>45657</v>
      </c>
      <c r="AB66" t="s">
        <v>207</v>
      </c>
      <c r="AC66" t="s">
        <v>189</v>
      </c>
      <c r="AD66" t="s">
        <v>176</v>
      </c>
      <c r="AE66">
        <v>14.953488</v>
      </c>
      <c r="AG66" t="s">
        <v>55</v>
      </c>
      <c r="AH66">
        <v>1</v>
      </c>
      <c r="AI66" s="2">
        <v>45627</v>
      </c>
      <c r="AJ66" t="s">
        <v>451</v>
      </c>
      <c r="AK66" t="s">
        <v>452</v>
      </c>
      <c r="AO66" t="s">
        <v>179</v>
      </c>
    </row>
    <row r="67" spans="1:41">
      <c r="A67" t="s">
        <v>43</v>
      </c>
      <c r="B67" t="s">
        <v>44</v>
      </c>
      <c r="C67" t="s">
        <v>45</v>
      </c>
      <c r="D67" t="s">
        <v>46</v>
      </c>
      <c r="E67" t="s">
        <v>47</v>
      </c>
      <c r="F67" t="s">
        <v>48</v>
      </c>
      <c r="G67">
        <v>3797082</v>
      </c>
      <c r="H67">
        <v>0</v>
      </c>
      <c r="I67" t="s">
        <v>65</v>
      </c>
      <c r="J67" s="2">
        <v>45661</v>
      </c>
      <c r="K67" t="s">
        <v>66</v>
      </c>
      <c r="L67" t="s">
        <v>453</v>
      </c>
      <c r="M67" t="s">
        <v>454</v>
      </c>
      <c r="N67" t="s">
        <v>455</v>
      </c>
      <c r="O67" t="s">
        <v>70</v>
      </c>
      <c r="P67" t="s">
        <v>54</v>
      </c>
      <c r="Q67" s="1">
        <v>4.7199999999999999E-2</v>
      </c>
      <c r="R67" s="1">
        <v>35.114442784799998</v>
      </c>
      <c r="S67" s="5">
        <v>4.2007999999999997E-2</v>
      </c>
      <c r="T67" s="5">
        <v>31.251854078471997</v>
      </c>
      <c r="U67" t="s">
        <v>55</v>
      </c>
      <c r="V67" t="s">
        <v>56</v>
      </c>
      <c r="X67" t="s">
        <v>57</v>
      </c>
      <c r="Y67" t="s">
        <v>58</v>
      </c>
      <c r="Z67" s="2">
        <v>45627</v>
      </c>
      <c r="AA67" s="2">
        <v>45657</v>
      </c>
      <c r="AB67" t="s">
        <v>71</v>
      </c>
      <c r="AC67" t="s">
        <v>72</v>
      </c>
      <c r="AD67" t="s">
        <v>73</v>
      </c>
      <c r="AE67">
        <v>743.95005900000001</v>
      </c>
      <c r="AG67" t="s">
        <v>55</v>
      </c>
      <c r="AH67">
        <v>1</v>
      </c>
      <c r="AI67" s="2">
        <v>45627</v>
      </c>
      <c r="AJ67" t="s">
        <v>456</v>
      </c>
      <c r="AK67" t="s">
        <v>457</v>
      </c>
      <c r="AO67" t="s">
        <v>76</v>
      </c>
    </row>
    <row r="68" spans="1:41">
      <c r="A68" t="s">
        <v>43</v>
      </c>
      <c r="B68" t="s">
        <v>44</v>
      </c>
      <c r="C68" t="s">
        <v>45</v>
      </c>
      <c r="D68" t="s">
        <v>46</v>
      </c>
      <c r="E68" t="s">
        <v>47</v>
      </c>
      <c r="F68" t="s">
        <v>48</v>
      </c>
      <c r="G68">
        <v>3797082</v>
      </c>
      <c r="H68">
        <v>0</v>
      </c>
      <c r="I68" t="s">
        <v>77</v>
      </c>
      <c r="J68" s="2">
        <v>45661</v>
      </c>
      <c r="K68" t="s">
        <v>458</v>
      </c>
      <c r="L68">
        <v>33</v>
      </c>
      <c r="M68" t="s">
        <v>459</v>
      </c>
      <c r="N68" t="s">
        <v>460</v>
      </c>
      <c r="O68" t="s">
        <v>461</v>
      </c>
      <c r="P68" t="s">
        <v>54</v>
      </c>
      <c r="Q68" s="1">
        <v>5.0000000000000001E-3</v>
      </c>
      <c r="R68" s="1">
        <v>33.480000000000004</v>
      </c>
      <c r="S68" s="5">
        <v>4.45E-3</v>
      </c>
      <c r="T68" s="5">
        <v>29.7972</v>
      </c>
      <c r="U68" t="s">
        <v>55</v>
      </c>
      <c r="V68" t="s">
        <v>56</v>
      </c>
      <c r="X68" t="s">
        <v>57</v>
      </c>
      <c r="Y68" t="s">
        <v>58</v>
      </c>
      <c r="Z68" s="2">
        <v>45627</v>
      </c>
      <c r="AA68" s="2">
        <v>45657</v>
      </c>
      <c r="AB68" t="s">
        <v>462</v>
      </c>
      <c r="AC68" t="s">
        <v>72</v>
      </c>
      <c r="AD68" t="s">
        <v>85</v>
      </c>
      <c r="AE68">
        <v>6696</v>
      </c>
      <c r="AG68" t="s">
        <v>55</v>
      </c>
      <c r="AH68">
        <v>1</v>
      </c>
      <c r="AI68" s="2">
        <v>45627</v>
      </c>
      <c r="AJ68" t="s">
        <v>463</v>
      </c>
      <c r="AK68" t="s">
        <v>464</v>
      </c>
      <c r="AO68" t="s">
        <v>88</v>
      </c>
    </row>
    <row r="69" spans="1:41">
      <c r="A69" t="s">
        <v>43</v>
      </c>
      <c r="B69" t="s">
        <v>44</v>
      </c>
      <c r="C69" t="s">
        <v>45</v>
      </c>
      <c r="D69" t="s">
        <v>46</v>
      </c>
      <c r="E69" t="s">
        <v>47</v>
      </c>
      <c r="F69" t="s">
        <v>48</v>
      </c>
      <c r="G69">
        <v>3797082</v>
      </c>
      <c r="H69">
        <v>0</v>
      </c>
      <c r="I69" t="s">
        <v>172</v>
      </c>
      <c r="J69" s="2">
        <v>45661</v>
      </c>
      <c r="K69" t="s">
        <v>165</v>
      </c>
      <c r="L69">
        <v>5</v>
      </c>
      <c r="M69" t="s">
        <v>465</v>
      </c>
      <c r="N69" t="s">
        <v>466</v>
      </c>
      <c r="O69" t="s">
        <v>168</v>
      </c>
      <c r="P69" t="s">
        <v>54</v>
      </c>
      <c r="Q69" s="1">
        <v>0.08</v>
      </c>
      <c r="R69" s="1">
        <v>3.4682728080000003E-2</v>
      </c>
      <c r="S69" s="5">
        <v>7.1199999999999999E-2</v>
      </c>
      <c r="T69" s="5">
        <v>3.0867627991199999E-2</v>
      </c>
      <c r="U69" t="s">
        <v>55</v>
      </c>
      <c r="V69" t="s">
        <v>56</v>
      </c>
      <c r="X69" t="s">
        <v>57</v>
      </c>
      <c r="Y69" t="s">
        <v>58</v>
      </c>
      <c r="Z69" s="2">
        <v>45627</v>
      </c>
      <c r="AA69" s="2">
        <v>45657</v>
      </c>
      <c r="AB69" t="s">
        <v>110</v>
      </c>
      <c r="AC69" t="s">
        <v>60</v>
      </c>
      <c r="AD69" t="s">
        <v>176</v>
      </c>
      <c r="AE69">
        <v>0.43353410100000001</v>
      </c>
      <c r="AG69" t="s">
        <v>55</v>
      </c>
      <c r="AH69">
        <v>1</v>
      </c>
      <c r="AI69" s="2">
        <v>45627</v>
      </c>
      <c r="AJ69" t="s">
        <v>467</v>
      </c>
      <c r="AK69" t="s">
        <v>468</v>
      </c>
      <c r="AO69" t="s">
        <v>179</v>
      </c>
    </row>
    <row r="70" spans="1:41">
      <c r="A70" t="s">
        <v>43</v>
      </c>
      <c r="B70" t="s">
        <v>44</v>
      </c>
      <c r="C70" t="s">
        <v>45</v>
      </c>
      <c r="D70" t="s">
        <v>46</v>
      </c>
      <c r="E70" t="s">
        <v>47</v>
      </c>
      <c r="F70" t="s">
        <v>48</v>
      </c>
      <c r="G70">
        <v>3797082</v>
      </c>
      <c r="H70">
        <v>0</v>
      </c>
      <c r="I70" t="s">
        <v>172</v>
      </c>
      <c r="J70" s="2">
        <v>45661</v>
      </c>
      <c r="K70" t="s">
        <v>469</v>
      </c>
      <c r="L70">
        <v>13</v>
      </c>
      <c r="M70" t="s">
        <v>470</v>
      </c>
      <c r="N70" t="s">
        <v>471</v>
      </c>
      <c r="O70" t="s">
        <v>472</v>
      </c>
      <c r="P70" t="s">
        <v>54</v>
      </c>
      <c r="Q70" s="1">
        <v>0.02</v>
      </c>
      <c r="R70" s="1">
        <v>178.52</v>
      </c>
      <c r="S70" s="5">
        <v>1.78E-2</v>
      </c>
      <c r="T70" s="5">
        <v>158.8828</v>
      </c>
      <c r="U70" t="s">
        <v>55</v>
      </c>
      <c r="V70" t="s">
        <v>56</v>
      </c>
      <c r="X70" t="s">
        <v>57</v>
      </c>
      <c r="Y70" t="s">
        <v>58</v>
      </c>
      <c r="Z70" s="2">
        <v>45627</v>
      </c>
      <c r="AA70" s="2">
        <v>45657</v>
      </c>
      <c r="AB70" t="s">
        <v>473</v>
      </c>
      <c r="AC70" t="s">
        <v>287</v>
      </c>
      <c r="AD70" t="s">
        <v>176</v>
      </c>
      <c r="AE70">
        <v>8926</v>
      </c>
      <c r="AG70" t="s">
        <v>55</v>
      </c>
      <c r="AH70">
        <v>1</v>
      </c>
      <c r="AI70" s="2">
        <v>45627</v>
      </c>
      <c r="AJ70" t="s">
        <v>474</v>
      </c>
      <c r="AK70" t="s">
        <v>475</v>
      </c>
      <c r="AO70" t="s">
        <v>179</v>
      </c>
    </row>
    <row r="71" spans="1:41">
      <c r="A71" t="s">
        <v>43</v>
      </c>
      <c r="B71" t="s">
        <v>44</v>
      </c>
      <c r="C71" t="s">
        <v>45</v>
      </c>
      <c r="D71" t="s">
        <v>46</v>
      </c>
      <c r="E71" t="s">
        <v>47</v>
      </c>
      <c r="F71" t="s">
        <v>48</v>
      </c>
      <c r="G71">
        <v>3797082</v>
      </c>
      <c r="H71">
        <v>0</v>
      </c>
      <c r="I71" t="s">
        <v>121</v>
      </c>
      <c r="J71" s="2">
        <v>45661</v>
      </c>
      <c r="K71" t="s">
        <v>105</v>
      </c>
      <c r="L71" t="s">
        <v>106</v>
      </c>
      <c r="M71" t="s">
        <v>107</v>
      </c>
      <c r="N71" t="s">
        <v>108</v>
      </c>
      <c r="O71" t="s">
        <v>109</v>
      </c>
      <c r="P71" t="s">
        <v>54</v>
      </c>
      <c r="Q71" s="1">
        <v>0.12</v>
      </c>
      <c r="R71" s="1">
        <v>12</v>
      </c>
      <c r="S71" s="5">
        <v>0.10679999999999999</v>
      </c>
      <c r="T71" s="5">
        <v>10.68</v>
      </c>
      <c r="U71" t="s">
        <v>55</v>
      </c>
      <c r="V71" t="s">
        <v>56</v>
      </c>
      <c r="X71" t="s">
        <v>57</v>
      </c>
      <c r="Y71" t="s">
        <v>58</v>
      </c>
      <c r="Z71" s="2">
        <v>45627</v>
      </c>
      <c r="AA71" s="2">
        <v>45657</v>
      </c>
      <c r="AB71" t="s">
        <v>110</v>
      </c>
      <c r="AC71" t="s">
        <v>60</v>
      </c>
      <c r="AD71" t="s">
        <v>128</v>
      </c>
      <c r="AE71">
        <v>100</v>
      </c>
      <c r="AG71" t="s">
        <v>55</v>
      </c>
      <c r="AH71">
        <v>1</v>
      </c>
      <c r="AI71" s="2">
        <v>45627</v>
      </c>
      <c r="AJ71" t="s">
        <v>111</v>
      </c>
      <c r="AK71" t="s">
        <v>476</v>
      </c>
      <c r="AO71" t="s">
        <v>131</v>
      </c>
    </row>
    <row r="72" spans="1:41">
      <c r="A72" t="s">
        <v>43</v>
      </c>
      <c r="B72" t="s">
        <v>44</v>
      </c>
      <c r="C72" t="s">
        <v>45</v>
      </c>
      <c r="D72" t="s">
        <v>46</v>
      </c>
      <c r="E72" t="s">
        <v>47</v>
      </c>
      <c r="F72" t="s">
        <v>48</v>
      </c>
      <c r="G72">
        <v>3797082</v>
      </c>
      <c r="H72">
        <v>0</v>
      </c>
      <c r="I72" t="s">
        <v>121</v>
      </c>
      <c r="J72" s="2">
        <v>45661</v>
      </c>
      <c r="K72" t="s">
        <v>122</v>
      </c>
      <c r="L72" t="s">
        <v>477</v>
      </c>
      <c r="M72" t="s">
        <v>478</v>
      </c>
      <c r="N72" t="s">
        <v>479</v>
      </c>
      <c r="O72" t="s">
        <v>126</v>
      </c>
      <c r="P72" t="s">
        <v>54</v>
      </c>
      <c r="Q72" s="1">
        <v>0.36099999999999999</v>
      </c>
      <c r="R72" s="1">
        <v>268.584</v>
      </c>
      <c r="S72" s="5">
        <v>0.32129000000000002</v>
      </c>
      <c r="T72" s="5">
        <v>239.03976</v>
      </c>
      <c r="U72" t="s">
        <v>55</v>
      </c>
      <c r="V72" t="s">
        <v>56</v>
      </c>
      <c r="X72" t="s">
        <v>57</v>
      </c>
      <c r="Y72" t="s">
        <v>58</v>
      </c>
      <c r="Z72" s="2">
        <v>45627</v>
      </c>
      <c r="AA72" s="2">
        <v>45657</v>
      </c>
      <c r="AB72" t="s">
        <v>127</v>
      </c>
      <c r="AC72" t="s">
        <v>72</v>
      </c>
      <c r="AD72" t="s">
        <v>128</v>
      </c>
      <c r="AE72">
        <v>744</v>
      </c>
      <c r="AG72" t="s">
        <v>55</v>
      </c>
      <c r="AH72">
        <v>1</v>
      </c>
      <c r="AI72" s="2">
        <v>45627</v>
      </c>
      <c r="AJ72" t="s">
        <v>480</v>
      </c>
      <c r="AK72" t="s">
        <v>481</v>
      </c>
      <c r="AO72" t="s">
        <v>131</v>
      </c>
    </row>
    <row r="73" spans="1:41" ht="15.75" thickBot="1">
      <c r="R73" s="6">
        <f>SUM(R2:R72)</f>
        <v>9770.4310776191105</v>
      </c>
      <c r="T73" s="6">
        <f>SUM(T2:T72)</f>
        <v>8695.6836590810126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806ABBA9C9DF4FB31175A2EBC6E3AB" ma:contentTypeVersion="16" ma:contentTypeDescription="Create a new document." ma:contentTypeScope="" ma:versionID="7ee8c01b3dd42f502a109895f9dc335a">
  <xsd:schema xmlns:xsd="http://www.w3.org/2001/XMLSchema" xmlns:xs="http://www.w3.org/2001/XMLSchema" xmlns:p="http://schemas.microsoft.com/office/2006/metadata/properties" xmlns:ns2="d1a7f7fe-4c93-4e39-921c-de4d45e965a8" xmlns:ns3="48803356-e3db-40f3-9833-04ea3a9ea35d" targetNamespace="http://schemas.microsoft.com/office/2006/metadata/properties" ma:root="true" ma:fieldsID="c7a95ac9210af79ea39d0858d52af7e6" ns2:_="" ns3:_="">
    <xsd:import namespace="d1a7f7fe-4c93-4e39-921c-de4d45e965a8"/>
    <xsd:import namespace="48803356-e3db-40f3-9833-04ea3a9ea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7f7fe-4c93-4e39-921c-de4d45e96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db4ddee-5e58-4560-99ef-1c84dade78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03356-e3db-40f3-9833-04ea3a9ea35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a7f7fe-4c93-4e39-921c-de4d45e965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662089-E0F4-4AF0-847A-2ED6706E03BC}"/>
</file>

<file path=customXml/itemProps2.xml><?xml version="1.0" encoding="utf-8"?>
<ds:datastoreItem xmlns:ds="http://schemas.openxmlformats.org/officeDocument/2006/customXml" ds:itemID="{06A268F6-F8AD-4542-8F8D-C443A3F10785}"/>
</file>

<file path=customXml/itemProps3.xml><?xml version="1.0" encoding="utf-8"?>
<ds:datastoreItem xmlns:ds="http://schemas.openxmlformats.org/officeDocument/2006/customXml" ds:itemID="{2EA6FC8C-BEBC-488F-B7DD-A9938A0839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suwat sangkhayanon</dc:creator>
  <cp:keywords/>
  <dc:description/>
  <cp:lastModifiedBy/>
  <cp:revision/>
  <dcterms:created xsi:type="dcterms:W3CDTF">2025-01-09T07:18:38Z</dcterms:created>
  <dcterms:modified xsi:type="dcterms:W3CDTF">2025-01-10T07:17:45Z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0x010100C6806ABBA9C9DF4FB31175A2EBC6E3AB</vt:lpwstr>
  </property>
</Properties>
</file>